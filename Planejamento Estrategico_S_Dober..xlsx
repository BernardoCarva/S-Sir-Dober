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rc.11396420908\OneDrive - Secretaria da Fazenda do Paraná\Área de Trabalho\"/>
    </mc:Choice>
  </mc:AlternateContent>
  <bookViews>
    <workbookView xWindow="0" yWindow="0" windowWidth="23040" windowHeight="10512"/>
  </bookViews>
  <sheets>
    <sheet name="DIRETRIZES ORGANIZACIONAIS" sheetId="1" r:id="rId1"/>
    <sheet name="ANÁLISE DE AMBIENTE - PEST" sheetId="2" r:id="rId2"/>
    <sheet name="DIAGNÓASTICO ORGANIZACIONAL " sheetId="3" r:id="rId3"/>
    <sheet name="5 FORÇAS DE PORTER" sheetId="4" r:id="rId4"/>
    <sheet name="SWOT" sheetId="5" r:id="rId5"/>
    <sheet name="PLANO DE AÇÃO - 5W2H" sheetId="6" r:id="rId6"/>
  </sheets>
  <calcPr calcId="162913"/>
</workbook>
</file>

<file path=xl/calcChain.xml><?xml version="1.0" encoding="utf-8"?>
<calcChain xmlns="http://schemas.openxmlformats.org/spreadsheetml/2006/main">
  <c r="U25" i="5" l="1"/>
  <c r="T25" i="5"/>
  <c r="U24" i="5"/>
  <c r="T24" i="5"/>
  <c r="P24" i="5"/>
  <c r="P23" i="5"/>
  <c r="P25" i="5" s="1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AB21" i="5"/>
  <c r="B21" i="5"/>
  <c r="AB20" i="5"/>
  <c r="B20" i="5"/>
  <c r="AB19" i="5"/>
  <c r="B19" i="5"/>
  <c r="AB18" i="5"/>
  <c r="B18" i="5"/>
  <c r="AB17" i="5"/>
  <c r="B17" i="5"/>
  <c r="AB16" i="5"/>
  <c r="B16" i="5"/>
  <c r="AB15" i="5"/>
  <c r="B15" i="5"/>
  <c r="AB14" i="5"/>
  <c r="AB22" i="5" s="1"/>
  <c r="B14" i="5"/>
  <c r="AB13" i="5"/>
  <c r="B13" i="5"/>
  <c r="AB12" i="5"/>
  <c r="B12" i="5"/>
  <c r="AA2" i="5"/>
  <c r="Z2" i="5"/>
  <c r="Y2" i="5"/>
  <c r="X2" i="5"/>
  <c r="P2" i="5"/>
  <c r="O2" i="5"/>
  <c r="N2" i="5"/>
  <c r="M2" i="5"/>
  <c r="L2" i="5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H40" i="3"/>
  <c r="H39" i="3"/>
  <c r="H38" i="3"/>
  <c r="H37" i="3"/>
  <c r="H36" i="3"/>
  <c r="H35" i="3"/>
  <c r="H34" i="3"/>
  <c r="H33" i="3"/>
  <c r="H32" i="3"/>
  <c r="H29" i="3"/>
  <c r="H28" i="3"/>
  <c r="H27" i="3"/>
  <c r="H26" i="3"/>
  <c r="H25" i="3"/>
  <c r="H24" i="3"/>
  <c r="H23" i="3"/>
  <c r="H22" i="3"/>
  <c r="H19" i="3"/>
  <c r="D19" i="3"/>
  <c r="H18" i="3"/>
  <c r="D18" i="3"/>
  <c r="H17" i="3"/>
  <c r="D17" i="3"/>
  <c r="H16" i="3"/>
  <c r="D16" i="3"/>
  <c r="H15" i="3"/>
  <c r="D15" i="3"/>
  <c r="W2" i="5" s="1"/>
  <c r="H14" i="3"/>
  <c r="D14" i="3"/>
  <c r="V2" i="5" s="1"/>
  <c r="H13" i="3"/>
  <c r="D13" i="3"/>
  <c r="U2" i="5" s="1"/>
  <c r="H12" i="3"/>
  <c r="D12" i="3"/>
  <c r="T2" i="5" s="1"/>
  <c r="H9" i="3"/>
  <c r="D9" i="3"/>
  <c r="S2" i="5" s="1"/>
  <c r="H8" i="3"/>
  <c r="D8" i="3"/>
  <c r="R2" i="5" s="1"/>
  <c r="H7" i="3"/>
  <c r="D7" i="3"/>
  <c r="Q2" i="5" s="1"/>
  <c r="H6" i="3"/>
  <c r="D6" i="3"/>
  <c r="H5" i="3"/>
  <c r="D5" i="3"/>
  <c r="H4" i="3"/>
  <c r="D4" i="3"/>
  <c r="H3" i="3"/>
  <c r="D3" i="3"/>
  <c r="H2" i="3"/>
  <c r="D2" i="3"/>
  <c r="Y24" i="5" l="1"/>
  <c r="X24" i="5"/>
  <c r="X25" i="5"/>
  <c r="Y25" i="5"/>
</calcChain>
</file>

<file path=xl/sharedStrings.xml><?xml version="1.0" encoding="utf-8"?>
<sst xmlns="http://schemas.openxmlformats.org/spreadsheetml/2006/main" count="430" uniqueCount="223">
  <si>
    <t>Tipo de organização</t>
  </si>
  <si>
    <t>Startup</t>
  </si>
  <si>
    <t>Objetivo da Organização</t>
  </si>
  <si>
    <t>Propósitos organizacionais</t>
  </si>
  <si>
    <t>Missão</t>
  </si>
  <si>
    <t>Visão de Futuro</t>
  </si>
  <si>
    <t>Valores</t>
  </si>
  <si>
    <t>Cenários futuros</t>
  </si>
  <si>
    <t>Desenvolvimento internacional da sturtup</t>
  </si>
  <si>
    <t>OPORTUNIDADE</t>
  </si>
  <si>
    <t>AMEAÇAS</t>
  </si>
  <si>
    <t>P</t>
  </si>
  <si>
    <t>Incentivos Governamentais</t>
  </si>
  <si>
    <t>Instabilidade Política</t>
  </si>
  <si>
    <t>Acordos Comerciais</t>
  </si>
  <si>
    <t>Regulações Rigorosas</t>
  </si>
  <si>
    <t>E</t>
  </si>
  <si>
    <t>Crescimento Econômico</t>
  </si>
  <si>
    <t>Recessões Econômicas</t>
  </si>
  <si>
    <t>Acessibilidade ao Crédito</t>
  </si>
  <si>
    <t>Inflação Acelerada</t>
  </si>
  <si>
    <t>S</t>
  </si>
  <si>
    <t>Mudanças nos Comportamentos do Consumidor</t>
  </si>
  <si>
    <t>Mudança de Preferências</t>
  </si>
  <si>
    <t>Maior Inclusão Social</t>
  </si>
  <si>
    <t>Descontentamento Social</t>
  </si>
  <si>
    <t>T</t>
  </si>
  <si>
    <t>Avanços em Tecnologia</t>
  </si>
  <si>
    <t>Rápida Obsolescência</t>
  </si>
  <si>
    <t>Adoção Digital</t>
  </si>
  <si>
    <t>Cibersegurança</t>
  </si>
  <si>
    <t>POLÍTICO</t>
  </si>
  <si>
    <t>ECONÔMICO</t>
  </si>
  <si>
    <t xml:space="preserve">S </t>
  </si>
  <si>
    <t>SOCIAL/CULTURAL/AMBIENTAL</t>
  </si>
  <si>
    <t>TECNOLÓGICA/INOVAÇÃO</t>
  </si>
  <si>
    <t>CRITÉRIOS DE PRIORIZAÇÃO</t>
  </si>
  <si>
    <t>ESPECIFICAÇÃO</t>
  </si>
  <si>
    <t>GRAVIDADE</t>
  </si>
  <si>
    <t>URGÊNCIA</t>
  </si>
  <si>
    <t>TENDÊNCIA</t>
  </si>
  <si>
    <t>AMBIENTE EXTERNO</t>
  </si>
  <si>
    <t>OPORTUNIDADES</t>
  </si>
  <si>
    <t>AMBIENTE INTERNO</t>
  </si>
  <si>
    <t>FORÇAS</t>
  </si>
  <si>
    <t>Facilidade de Uso</t>
  </si>
  <si>
    <t xml:space="preserve">Equipe qualificada </t>
  </si>
  <si>
    <t>Mobilidade e divercidade de recursos</t>
  </si>
  <si>
    <t>Personalização de acordo com o cliente</t>
  </si>
  <si>
    <t xml:space="preserve">Relacionamento com o cliente </t>
  </si>
  <si>
    <t>Sustentabilidade</t>
  </si>
  <si>
    <t>Produto de alto indice de necessidade (produto que todos precisam)</t>
  </si>
  <si>
    <t xml:space="preserve">Objetivo bem definido </t>
  </si>
  <si>
    <t>FRAQUEZAS</t>
  </si>
  <si>
    <t>A falta de capital</t>
  </si>
  <si>
    <t>Gerar insights de dados</t>
  </si>
  <si>
    <t>Ausência de parcerias estrategicas</t>
  </si>
  <si>
    <t xml:space="preserve">Falta de suporte tecnico </t>
  </si>
  <si>
    <t>Falta de Habilidade em Networking</t>
  </si>
  <si>
    <t>Baixa disponibilidade de desgners</t>
  </si>
  <si>
    <t>Inovar de forma significativa</t>
  </si>
  <si>
    <t>Complexidade dos Processos</t>
  </si>
  <si>
    <t xml:space="preserve">Facilidade de plagio </t>
  </si>
  <si>
    <t>Ameaças e Fraquezas: Grave, Urgente, Tendência;
Oportunidade: Devemos investir, rápido retorno do investimento, baixo investimento;
Força: Reconhecida pelo mercado, ajuda na lucratividade, difícil de imitar;</t>
  </si>
  <si>
    <t>RIVALIDADE ENTRE CONCORRENTES</t>
  </si>
  <si>
    <t>Custo mudança</t>
  </si>
  <si>
    <t>Complexidade Informal</t>
  </si>
  <si>
    <t>Divercidade de concorrencia</t>
  </si>
  <si>
    <t>Diferança de produto</t>
  </si>
  <si>
    <t>Custo Fixo</t>
  </si>
  <si>
    <t>Identidade de marcas</t>
  </si>
  <si>
    <t>Crescimento da industria</t>
  </si>
  <si>
    <t>Concentração e equilibrio</t>
  </si>
  <si>
    <t>AMEAÇA DE NOVOS ENTRANTES</t>
  </si>
  <si>
    <t>Custo de mudanças</t>
  </si>
  <si>
    <t>Identidade de marca</t>
  </si>
  <si>
    <t>Acesso a ensumos necessarios</t>
  </si>
  <si>
    <t>Vantagem de custo Absoluto</t>
  </si>
  <si>
    <t>Projeto de produtos de baixo custo</t>
  </si>
  <si>
    <t>Acesso a distribuição</t>
  </si>
  <si>
    <t>Retaliação esperada</t>
  </si>
  <si>
    <t>Economia de escala</t>
  </si>
  <si>
    <t>PODER DE BARBANHA DOS CLIENTES</t>
  </si>
  <si>
    <t>Alanvancagem de negociação</t>
  </si>
  <si>
    <t>Informação do comprador</t>
  </si>
  <si>
    <t>Produtos substitutos</t>
  </si>
  <si>
    <t>Volume do comprador</t>
  </si>
  <si>
    <t>Custo de mudança de comprador versus custo de mudança da empresa</t>
  </si>
  <si>
    <t>Possibilidade de integração</t>
  </si>
  <si>
    <t>A reputação da marca</t>
  </si>
  <si>
    <t>Diferenciais do produto/serviço</t>
  </si>
  <si>
    <t>PODER DE BARBANHA DOS FORNECEDORES</t>
  </si>
  <si>
    <t>Diferenciação de insumos</t>
  </si>
  <si>
    <t xml:space="preserve">Custo mudança de fornecedores </t>
  </si>
  <si>
    <t>Presença de insumos  substitutos</t>
  </si>
  <si>
    <t xml:space="preserve">Concentração de fornecedores </t>
  </si>
  <si>
    <t>Custo relativo a custo total da industria</t>
  </si>
  <si>
    <t>Inpacto dos insumos sobre o custo ou diferenciação</t>
  </si>
  <si>
    <t>Ameaça de integração para frente a relação a ameaça de integração para trás pelas empresas na industria</t>
  </si>
  <si>
    <t>Inportancia de volume para fornecedor</t>
  </si>
  <si>
    <t>AMEAÇAS PRODUTOS SUBSTITUTOS</t>
  </si>
  <si>
    <t>Desenhepenho relativo dos substitutos</t>
  </si>
  <si>
    <t>Custo de mudança</t>
  </si>
  <si>
    <t>Pretenção de comprador a substituir</t>
  </si>
  <si>
    <t>OPORTUNIDADES E AMEAÇAS</t>
  </si>
  <si>
    <t>TOTAL</t>
  </si>
  <si>
    <t>FORÇAS E FRAQUEZAS</t>
  </si>
  <si>
    <t>Capacidade Ofensiva (QI - QIII) =</t>
  </si>
  <si>
    <t>Capacidade Defensiva (QII - QIV) =</t>
  </si>
  <si>
    <t>Posicionamento Estratégico =</t>
  </si>
  <si>
    <t>PLANO DE AÇÃO ESTRATÉGICA</t>
  </si>
  <si>
    <t>OBJETIVO ESTRATÉGIVO</t>
  </si>
  <si>
    <t>O QUE FAZER</t>
  </si>
  <si>
    <t>Como</t>
  </si>
  <si>
    <t>Quem</t>
  </si>
  <si>
    <t>Quando</t>
  </si>
  <si>
    <t>Onde</t>
  </si>
  <si>
    <t>Porque</t>
  </si>
  <si>
    <t>Como será medido</t>
  </si>
  <si>
    <t xml:space="preserve">Observação </t>
  </si>
  <si>
    <t>Status</t>
  </si>
  <si>
    <t>Metas específicas</t>
  </si>
  <si>
    <t>(Estratégias)</t>
  </si>
  <si>
    <t>(Responsável)</t>
  </si>
  <si>
    <t>(Prazo / conclusão)</t>
  </si>
  <si>
    <t>Local</t>
  </si>
  <si>
    <t>Justificativa</t>
  </si>
  <si>
    <t>Crie um indicador</t>
  </si>
  <si>
    <t>( análise de eficácia)</t>
  </si>
  <si>
    <t>Apresentação do andamento do plano de ação</t>
  </si>
  <si>
    <t>1.AUMENTAR A EQUIPE DE DESGNERS</t>
  </si>
  <si>
    <t>Aumento de beneficios para novos contratados</t>
  </si>
  <si>
    <t>Programa de bem-estar e flexibilidade</t>
  </si>
  <si>
    <t xml:space="preserve">Diretor de Operações </t>
  </si>
  <si>
    <t>2 a 3 meses</t>
  </si>
  <si>
    <t>Empresa</t>
  </si>
  <si>
    <t>Qualidade de vida</t>
  </si>
  <si>
    <t>Feedback funcionarios</t>
  </si>
  <si>
    <t>Coleta de Dados</t>
  </si>
  <si>
    <t>Interpretação dos Resultados</t>
  </si>
  <si>
    <t>Relatório e Recomendações</t>
  </si>
  <si>
    <t>EM DESENVOLVIMENTO</t>
  </si>
  <si>
    <t>Desenvolver a equipe de Desgners (Para que não aja baixas)</t>
  </si>
  <si>
    <t>Oportunidade de crescimento</t>
  </si>
  <si>
    <t>Disner Senior</t>
  </si>
  <si>
    <t>1 a 4 meses</t>
  </si>
  <si>
    <t>Contratação de 3º</t>
  </si>
  <si>
    <t>Pesquisa de Mercado</t>
  </si>
  <si>
    <t>1 a 2 meses</t>
  </si>
  <si>
    <t>WebSites</t>
  </si>
  <si>
    <t>Aumento de capacidade</t>
  </si>
  <si>
    <t>Feedback Clientes</t>
  </si>
  <si>
    <t>2. INOVAR DE FORMA SIGNFICATIVA</t>
  </si>
  <si>
    <t>Buscar por inovações no exterior</t>
  </si>
  <si>
    <t>4 a 5 meses</t>
  </si>
  <si>
    <t>Qualidade de Informação</t>
  </si>
  <si>
    <t>Manter software´s atualizados</t>
  </si>
  <si>
    <t>Forum's de tecnologia</t>
  </si>
  <si>
    <t>Desenvolvedores de Software (Equipe)</t>
  </si>
  <si>
    <t>1 ano</t>
  </si>
  <si>
    <t>Velocidade de produção</t>
  </si>
  <si>
    <t>Controle finaceiro</t>
  </si>
  <si>
    <t>Análise dos Dados</t>
  </si>
  <si>
    <t>Resolver bug's do sistema com novas tecnologias</t>
  </si>
  <si>
    <t>Suporte Técnico (Equipe)</t>
  </si>
  <si>
    <t>1 a 2 anos</t>
  </si>
  <si>
    <t>3. MELHORIA DOS PROCESSOS INTERNOS</t>
  </si>
  <si>
    <t>Realizar um mapeamento detalhado de todos os processos</t>
  </si>
  <si>
    <t>Mapeamento de Processos</t>
  </si>
  <si>
    <t xml:space="preserve">Organização </t>
  </si>
  <si>
    <t>Implementar soluções de automação para ao menos 30% das atividades</t>
  </si>
  <si>
    <t>Implementar ferramentasIntercom, Drift, Zendesk Chat</t>
  </si>
  <si>
    <t>6 meses a 1 ano</t>
  </si>
  <si>
    <t>Segurança de informação</t>
  </si>
  <si>
    <t>Revisar e simplificar os processos principais</t>
  </si>
  <si>
    <t>5S, Kanban e PDCA</t>
  </si>
  <si>
    <t>3 a 6 meses</t>
  </si>
  <si>
    <t xml:space="preserve">4. IMPLEMENTAÇÕES DE AÇÕES  PARA MINIMIZAR OS IMPACTOS INFLACIONÁRIOS  </t>
  </si>
  <si>
    <t>Reduzir os custos operacionais em 15% nos próximos 12 meses</t>
  </si>
  <si>
    <t>12 meses</t>
  </si>
  <si>
    <t>Organização</t>
  </si>
  <si>
    <t>Aumentar em 10% as receitas através de reajuste de preços</t>
  </si>
  <si>
    <t>Social midia</t>
  </si>
  <si>
    <t>6 meses</t>
  </si>
  <si>
    <t>Aumentar a retenção de clientes em 20% por meio de programas</t>
  </si>
  <si>
    <t>5. IMPLEMENTAÇÕES DE AÇÕES  PARA CAPTAR  NOVOS CLIENTES E FIDELIZAR OS CLIENTES EXISTENTES</t>
  </si>
  <si>
    <t>Aumentar a taxa de conversão de novos clientes em 30%</t>
  </si>
  <si>
    <t>empresa</t>
  </si>
  <si>
    <t>Aumentar a retenção de clientes em 40% em 18 meses</t>
  </si>
  <si>
    <t>18 meses</t>
  </si>
  <si>
    <t>Expandir a presença da marca em 50% em redes sociais</t>
  </si>
  <si>
    <t>9 meses</t>
  </si>
  <si>
    <t>Campanhas online</t>
  </si>
  <si>
    <t>6. IMPLEMENTAR AÇÕES PARA DIMINUIR O DESCONTENTAMENTO SOCIAL</t>
  </si>
  <si>
    <t xml:space="preserve">participação da empresa em projetos comunitários </t>
  </si>
  <si>
    <t>Diretor de Operações e Social Midia</t>
  </si>
  <si>
    <t xml:space="preserve"> Promover três campanhas de conscientização sobre questões sociais</t>
  </si>
  <si>
    <t>Plataformas digitais</t>
  </si>
  <si>
    <t>Realizar uma pesquisa de satisfação e percepção comunitária</t>
  </si>
  <si>
    <t xml:space="preserve">Comunicação </t>
  </si>
  <si>
    <t>Comunidade local</t>
  </si>
  <si>
    <t>Feedback</t>
  </si>
  <si>
    <t>7. IMPLEMENTAR AÇÕES PARA QUALIFICAR A EQUIPE DE DESENVOLVIMENTO</t>
  </si>
  <si>
    <t xml:space="preserve">Apoiar e insentivar a obtenção de certificados profissionais </t>
  </si>
  <si>
    <t>cada 6 meses</t>
  </si>
  <si>
    <t>Controle</t>
  </si>
  <si>
    <t>Promover Treinamento técnicos periódicos</t>
  </si>
  <si>
    <t>2 meses</t>
  </si>
  <si>
    <t xml:space="preserve">Estabelecer um programa de mentoria </t>
  </si>
  <si>
    <t>4 meses</t>
  </si>
  <si>
    <t>8. CIBERSEGURANÇA</t>
  </si>
  <si>
    <t>Implementar MFA (Autenticação Multifatorial) para Todos os Usuários</t>
  </si>
  <si>
    <t>Programa de qualificação interna</t>
  </si>
  <si>
    <t>6 a 1 ano</t>
  </si>
  <si>
    <t>Realizar Avaliações de Segurança Mensais</t>
  </si>
  <si>
    <t>kanban</t>
  </si>
  <si>
    <t>1 mes</t>
  </si>
  <si>
    <t>Treinamento em Cibersegurança para os Funcionários</t>
  </si>
  <si>
    <t>1. OBJETIVO</t>
  </si>
  <si>
    <t xml:space="preserve">S Dober Insight busca trazer agilidade na criação de Marketing Digital para pequenos negócios. </t>
  </si>
  <si>
    <t>S Dober  Ser Desenvolvedor em marketing digital  nacionalmente de forma que possa estar presente em grandes organizações.</t>
  </si>
  <si>
    <t>S Dober  busca trazer agilidade na criação de Marketing Digital para pequenos negócios.</t>
  </si>
  <si>
    <t xml:space="preserve">O princípio da S Dober Insight é a segurança e qualidade do serviço, respeito com o usuários . integridade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</si>
</sst>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\ h:mm"/>
  </numFmts>
  <fonts count="24" x14ac:knownFonts="1">
    <font>
      <sz val="12"/>
      <color theme="1"/>
      <name val="Calibri"/>
      <scheme val="minor"/>
    </font>
    <font>
      <b/>
      <sz val="14"/>
      <color theme="1"/>
      <name val="Arial"/>
    </font>
    <font>
      <sz val="14"/>
      <color theme="1"/>
      <name val="Arial"/>
    </font>
    <font>
      <sz val="12"/>
      <name val="Calibri"/>
    </font>
    <font>
      <sz val="14"/>
      <color theme="1"/>
      <name val="Calibri"/>
    </font>
    <font>
      <b/>
      <sz val="16"/>
      <color theme="1"/>
      <name val="Arial"/>
    </font>
    <font>
      <b/>
      <sz val="12"/>
      <color rgb="FF000000"/>
      <name val="Arial"/>
    </font>
    <font>
      <b/>
      <sz val="12"/>
      <color theme="1"/>
      <name val="Arial"/>
    </font>
    <font>
      <sz val="14"/>
      <color theme="0"/>
      <name val="Arial"/>
    </font>
    <font>
      <b/>
      <sz val="12"/>
      <color theme="1"/>
      <name val="Calibri"/>
      <scheme val="minor"/>
    </font>
    <font>
      <b/>
      <sz val="14"/>
      <color rgb="FF000000"/>
      <name val="Arial"/>
    </font>
    <font>
      <b/>
      <sz val="14"/>
      <color rgb="FF212529"/>
      <name val="Arial"/>
    </font>
    <font>
      <sz val="14"/>
      <color rgb="FF000000"/>
      <name val="Arial"/>
    </font>
    <font>
      <sz val="12"/>
      <color theme="1"/>
      <name val="Calibri"/>
    </font>
    <font>
      <sz val="12"/>
      <color theme="1"/>
      <name val="Arial"/>
    </font>
    <font>
      <b/>
      <sz val="20"/>
      <color theme="1"/>
      <name val="Arial"/>
    </font>
    <font>
      <b/>
      <sz val="12"/>
      <color theme="1"/>
      <name val="Calibri"/>
    </font>
    <font>
      <sz val="18"/>
      <color theme="1"/>
      <name val="Arial"/>
    </font>
    <font>
      <sz val="9"/>
      <color theme="1"/>
      <name val="Arial"/>
    </font>
    <font>
      <sz val="8"/>
      <color theme="1"/>
      <name val="Arial"/>
    </font>
    <font>
      <sz val="8"/>
      <color theme="1"/>
      <name val="Calibri"/>
    </font>
    <font>
      <sz val="11"/>
      <color rgb="FF000000"/>
      <name val="Arial"/>
    </font>
    <font>
      <sz val="12"/>
      <color rgb="FF000000"/>
      <name val="Arial"/>
    </font>
    <font>
      <sz val="12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2" fillId="0" borderId="0" xfId="0" applyFont="1" applyAlignment="1"/>
    <xf numFmtId="0" fontId="1" fillId="0" borderId="1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8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1" fontId="1" fillId="0" borderId="1" xfId="0" applyNumberFormat="1" applyFont="1" applyBorder="1" applyAlignment="1">
      <alignment horizontal="center"/>
    </xf>
    <xf numFmtId="0" fontId="1" fillId="4" borderId="1" xfId="0" applyFont="1" applyFill="1" applyBorder="1"/>
    <xf numFmtId="0" fontId="1" fillId="0" borderId="1" xfId="0" applyFont="1" applyBorder="1"/>
    <xf numFmtId="0" fontId="1" fillId="0" borderId="6" xfId="0" applyFont="1" applyBorder="1" applyAlignment="1">
      <alignment wrapText="1"/>
    </xf>
    <xf numFmtId="0" fontId="9" fillId="0" borderId="0" xfId="0" applyFont="1"/>
    <xf numFmtId="1" fontId="1" fillId="0" borderId="1" xfId="0" applyNumberFormat="1" applyFont="1" applyBorder="1"/>
    <xf numFmtId="0" fontId="10" fillId="0" borderId="0" xfId="0" applyFont="1" applyAlignment="1"/>
    <xf numFmtId="1" fontId="1" fillId="0" borderId="1" xfId="0" applyNumberFormat="1" applyFont="1" applyBorder="1" applyAlignment="1"/>
    <xf numFmtId="0" fontId="10" fillId="0" borderId="1" xfId="0" applyFont="1" applyBorder="1" applyAlignment="1"/>
    <xf numFmtId="1" fontId="1" fillId="0" borderId="3" xfId="0" applyNumberFormat="1" applyFont="1" applyBorder="1" applyAlignment="1"/>
    <xf numFmtId="0" fontId="1" fillId="0" borderId="1" xfId="0" applyFont="1" applyBorder="1" applyAlignment="1">
      <alignment horizontal="left"/>
    </xf>
    <xf numFmtId="0" fontId="11" fillId="3" borderId="0" xfId="0" applyFont="1" applyFill="1" applyAlignment="1">
      <alignment horizontal="left"/>
    </xf>
    <xf numFmtId="0" fontId="2" fillId="4" borderId="1" xfId="0" applyFont="1" applyFill="1" applyBorder="1"/>
    <xf numFmtId="0" fontId="2" fillId="0" borderId="0" xfId="0" applyFont="1" applyAlignment="1">
      <alignment wrapText="1"/>
    </xf>
    <xf numFmtId="0" fontId="2" fillId="0" borderId="1" xfId="0" applyFont="1" applyBorder="1" applyAlignment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 applyAlignment="1"/>
    <xf numFmtId="1" fontId="2" fillId="0" borderId="1" xfId="0" applyNumberFormat="1" applyFont="1" applyBorder="1"/>
    <xf numFmtId="1" fontId="2" fillId="0" borderId="1" xfId="0" applyNumberFormat="1" applyFont="1" applyBorder="1" applyAlignment="1"/>
    <xf numFmtId="0" fontId="12" fillId="3" borderId="0" xfId="0" applyFont="1" applyFill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13" fillId="5" borderId="21" xfId="0" applyFont="1" applyFill="1" applyBorder="1"/>
    <xf numFmtId="0" fontId="14" fillId="0" borderId="17" xfId="0" applyFont="1" applyBorder="1"/>
    <xf numFmtId="0" fontId="14" fillId="0" borderId="18" xfId="0" applyFont="1" applyBorder="1"/>
    <xf numFmtId="0" fontId="14" fillId="0" borderId="24" xfId="0" applyFont="1" applyBorder="1"/>
    <xf numFmtId="0" fontId="14" fillId="0" borderId="0" xfId="0" applyFont="1"/>
    <xf numFmtId="0" fontId="14" fillId="0" borderId="16" xfId="0" applyFont="1" applyBorder="1"/>
    <xf numFmtId="0" fontId="14" fillId="0" borderId="26" xfId="0" applyFont="1" applyBorder="1"/>
    <xf numFmtId="0" fontId="14" fillId="0" borderId="27" xfId="0" applyFont="1" applyBorder="1"/>
    <xf numFmtId="1" fontId="16" fillId="4" borderId="1" xfId="0" applyNumberFormat="1" applyFont="1" applyFill="1" applyBorder="1" applyAlignment="1"/>
    <xf numFmtId="1" fontId="16" fillId="6" borderId="1" xfId="0" applyNumberFormat="1" applyFont="1" applyFill="1" applyBorder="1" applyAlignment="1"/>
    <xf numFmtId="1" fontId="14" fillId="7" borderId="1" xfId="0" applyNumberFormat="1" applyFont="1" applyFill="1" applyBorder="1" applyAlignment="1">
      <alignment horizontal="center"/>
    </xf>
    <xf numFmtId="1" fontId="14" fillId="4" borderId="1" xfId="0" applyNumberFormat="1" applyFont="1" applyFill="1" applyBorder="1" applyAlignment="1">
      <alignment horizontal="center"/>
    </xf>
    <xf numFmtId="1" fontId="7" fillId="6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/>
    <xf numFmtId="1" fontId="14" fillId="2" borderId="1" xfId="0" applyNumberFormat="1" applyFont="1" applyFill="1" applyBorder="1" applyAlignment="1">
      <alignment horizontal="center"/>
    </xf>
    <xf numFmtId="0" fontId="4" fillId="5" borderId="32" xfId="0" applyFont="1" applyFill="1" applyBorder="1"/>
    <xf numFmtId="1" fontId="14" fillId="2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1" fontId="14" fillId="7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20" fillId="0" borderId="0" xfId="0" applyFont="1"/>
    <xf numFmtId="9" fontId="19" fillId="4" borderId="1" xfId="0" applyNumberFormat="1" applyFont="1" applyFill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14" fillId="0" borderId="6" xfId="0" applyFont="1" applyBorder="1" applyAlignment="1"/>
    <xf numFmtId="0" fontId="21" fillId="0" borderId="6" xfId="0" applyFont="1" applyBorder="1" applyAlignment="1"/>
    <xf numFmtId="0" fontId="14" fillId="0" borderId="1" xfId="0" applyFont="1" applyBorder="1" applyAlignment="1"/>
    <xf numFmtId="0" fontId="21" fillId="0" borderId="1" xfId="0" applyFont="1" applyBorder="1" applyAlignment="1"/>
    <xf numFmtId="0" fontId="22" fillId="3" borderId="1" xfId="0" applyFont="1" applyFill="1" applyBorder="1" applyAlignment="1">
      <alignment horizontal="left"/>
    </xf>
    <xf numFmtId="0" fontId="23" fillId="0" borderId="1" xfId="0" applyFont="1" applyBorder="1" applyAlignment="1"/>
    <xf numFmtId="0" fontId="14" fillId="0" borderId="1" xfId="0" applyFont="1" applyBorder="1"/>
    <xf numFmtId="0" fontId="14" fillId="0" borderId="0" xfId="0" applyFont="1" applyAlignment="1">
      <alignment horizontal="center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/>
    <xf numFmtId="0" fontId="1" fillId="2" borderId="4" xfId="0" applyFont="1" applyFill="1" applyBorder="1" applyAlignment="1">
      <alignment horizontal="center" vertical="center" textRotation="90"/>
    </xf>
    <xf numFmtId="0" fontId="3" fillId="0" borderId="5" xfId="0" applyFont="1" applyBorder="1"/>
    <xf numFmtId="0" fontId="3" fillId="0" borderId="6" xfId="0" applyFont="1" applyBorder="1"/>
    <xf numFmtId="0" fontId="2" fillId="0" borderId="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textRotation="90" wrapText="1"/>
    </xf>
    <xf numFmtId="0" fontId="3" fillId="0" borderId="11" xfId="0" applyFont="1" applyBorder="1"/>
    <xf numFmtId="0" fontId="3" fillId="0" borderId="14" xfId="0" applyFont="1" applyBorder="1"/>
    <xf numFmtId="0" fontId="1" fillId="0" borderId="8" xfId="0" applyFont="1" applyBorder="1" applyAlignment="1">
      <alignment horizontal="center" vertical="center"/>
    </xf>
    <xf numFmtId="0" fontId="3" fillId="0" borderId="9" xfId="0" applyFont="1" applyBorder="1"/>
    <xf numFmtId="0" fontId="2" fillId="0" borderId="12" xfId="0" applyFont="1" applyBorder="1" applyAlignment="1">
      <alignment horizontal="center" vertical="center" textRotation="90"/>
    </xf>
    <xf numFmtId="0" fontId="3" fillId="0" borderId="13" xfId="0" applyFont="1" applyBorder="1"/>
    <xf numFmtId="0" fontId="3" fillId="0" borderId="15" xfId="0" applyFont="1" applyBorder="1"/>
    <xf numFmtId="0" fontId="5" fillId="0" borderId="0" xfId="0" applyFont="1" applyAlignment="1">
      <alignment horizontal="center" vertical="center" textRotation="90"/>
    </xf>
    <xf numFmtId="0" fontId="0" fillId="0" borderId="0" xfId="0" applyFont="1" applyAlignment="1"/>
    <xf numFmtId="0" fontId="1" fillId="0" borderId="16" xfId="0" applyFont="1" applyBorder="1" applyAlignment="1">
      <alignment horizontal="center" vertical="center" textRotation="90"/>
    </xf>
    <xf numFmtId="0" fontId="3" fillId="0" borderId="16" xfId="0" applyFont="1" applyBorder="1"/>
    <xf numFmtId="0" fontId="1" fillId="0" borderId="4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 wrapText="1"/>
    </xf>
    <xf numFmtId="0" fontId="14" fillId="0" borderId="16" xfId="0" applyFont="1" applyBorder="1" applyAlignment="1">
      <alignment horizontal="center" textRotation="90" wrapText="1"/>
    </xf>
    <xf numFmtId="0" fontId="1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1" fillId="4" borderId="17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7" fillId="0" borderId="0" xfId="0" applyFont="1" applyAlignment="1">
      <alignment horizontal="right" vertical="center"/>
    </xf>
    <xf numFmtId="0" fontId="14" fillId="0" borderId="26" xfId="0" applyFont="1" applyBorder="1" applyAlignment="1">
      <alignment horizontal="left" vertical="center"/>
    </xf>
    <xf numFmtId="0" fontId="15" fillId="4" borderId="2" xfId="0" applyFont="1" applyFill="1" applyBorder="1" applyAlignment="1">
      <alignment horizontal="center" vertical="center"/>
    </xf>
    <xf numFmtId="0" fontId="3" fillId="0" borderId="33" xfId="0" applyFont="1" applyBorder="1"/>
    <xf numFmtId="0" fontId="15" fillId="4" borderId="23" xfId="0" applyFont="1" applyFill="1" applyBorder="1" applyAlignment="1">
      <alignment horizontal="center" vertical="center" textRotation="90"/>
    </xf>
    <xf numFmtId="0" fontId="3" fillId="0" borderId="28" xfId="0" applyFont="1" applyBorder="1"/>
    <xf numFmtId="0" fontId="1" fillId="0" borderId="17" xfId="0" applyFont="1" applyBorder="1" applyAlignment="1">
      <alignment horizontal="center" vertical="center" textRotation="90"/>
    </xf>
    <xf numFmtId="0" fontId="1" fillId="0" borderId="29" xfId="0" applyFont="1" applyBorder="1" applyAlignment="1">
      <alignment horizontal="center" vertical="center" textRotation="90"/>
    </xf>
    <xf numFmtId="0" fontId="3" fillId="0" borderId="30" xfId="0" applyFont="1" applyBorder="1"/>
    <xf numFmtId="0" fontId="3" fillId="0" borderId="31" xfId="0" applyFont="1" applyBorder="1"/>
    <xf numFmtId="164" fontId="5" fillId="0" borderId="7" xfId="0" applyNumberFormat="1" applyFont="1" applyBorder="1" applyAlignment="1">
      <alignment horizontal="center" vertical="center"/>
    </xf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1" fillId="4" borderId="39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0" fontId="14" fillId="0" borderId="4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133350</xdr:colOff>
      <xdr:row>44</xdr:row>
      <xdr:rowOff>85725</xdr:rowOff>
    </xdr:from>
    <xdr:ext cx="14992350" cy="4124325"/>
    <xdr:sp macro="" textlink="">
      <xdr:nvSpPr>
        <xdr:cNvPr id="3" name="Shape 3"/>
        <xdr:cNvSpPr/>
      </xdr:nvSpPr>
      <xdr:spPr>
        <a:xfrm>
          <a:off x="0" y="1722600"/>
          <a:ext cx="10692000" cy="4114800"/>
        </a:xfrm>
        <a:prstGeom prst="rect">
          <a:avLst/>
        </a:prstGeom>
        <a:solidFill>
          <a:schemeClr val="l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1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Gravidade: </a:t>
          </a: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refere-se ao impacto que o processo analisado teria no negócio caso uma decisão não fosse tomada e à intensidade com que ele se apresenta. 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1 = Sem gravidade;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2 = Pouco grave;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3 = Grave;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4 = Muito grave;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5 = Extremamente grave.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chemeClr val="dk2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1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Urgência:</a:t>
          </a: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 esse problema ou essa demanda pode ser adiado ou deve ser resolvido? Em qual prazo isso deveria acontecer?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1 = Sem urgência;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2 = Pouco urgente;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3 = Urgente;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4 = Muito urgente;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5 = Extremamente urgente.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chemeClr val="dk2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1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Tendência: </a:t>
          </a: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a questão tende a se agravar com o tempo? Se sim, a curto, médio ou longo prazo?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1 = Sem tendência de piora;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2 = Vai piorar em longo prazo;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3 = Vai piorar em médio prazo;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4 = Vai piorar em curto prazo;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5 = Vai piorar rapidamente.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chemeClr val="dk2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solidFill>
              <a:schemeClr val="dk2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133350</xdr:colOff>
      <xdr:row>53</xdr:row>
      <xdr:rowOff>85725</xdr:rowOff>
    </xdr:from>
    <xdr:ext cx="14992350" cy="4124325"/>
    <xdr:sp macro="" textlink="">
      <xdr:nvSpPr>
        <xdr:cNvPr id="4" name="Shape 4"/>
        <xdr:cNvSpPr/>
      </xdr:nvSpPr>
      <xdr:spPr>
        <a:xfrm>
          <a:off x="0" y="1722600"/>
          <a:ext cx="10692000" cy="4114800"/>
        </a:xfrm>
        <a:prstGeom prst="rect">
          <a:avLst/>
        </a:prstGeom>
        <a:solidFill>
          <a:schemeClr val="l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1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Gravidade: </a:t>
          </a: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refere-se ao impacto que o processo analisado teria no negócio caso uma decisão não fosse tomada e à intensidade com que ele se apresenta. 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1 = Sem gravidade;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2 = Pouco grave;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3 = Grave;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4 = Muito grave;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5 = Extremamente grave.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chemeClr val="dk2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1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Urgência:</a:t>
          </a: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 esse problema ou essa demanda pode ser adiado ou deve ser resolvido? Em qual prazo isso deveria acontecer?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1 = Sem urgência;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2 = Pouco urgente;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3 = Urgente;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4 = Muito urgente;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5 = Extremamente urgente.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chemeClr val="dk2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1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Tendência: </a:t>
          </a: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a questão tende a se agravar com o tempo? Se sim, a curto, médio ou longo prazo?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1 = Sem tendência de piora;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2 = Vai piorar em longo prazo;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3 = Vai piorar em médio prazo;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4 = Vai piorar em curto prazo;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200"/>
            <a:buFont typeface="Arial"/>
            <a:buNone/>
          </a:pPr>
          <a:r>
            <a:rPr lang="en-US" sz="1200" b="0" i="0" u="none" strike="noStrike">
              <a:solidFill>
                <a:schemeClr val="dk2"/>
              </a:solidFill>
              <a:latin typeface="Arial"/>
              <a:ea typeface="Arial"/>
              <a:cs typeface="Arial"/>
              <a:sym typeface="Arial"/>
            </a:rPr>
            <a:t>5 = Vai piorar rapidamente.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chemeClr val="dk2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solidFill>
              <a:schemeClr val="dk2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104775</xdr:colOff>
      <xdr:row>21</xdr:row>
      <xdr:rowOff>142875</xdr:rowOff>
    </xdr:from>
    <xdr:ext cx="9286875" cy="1924050"/>
    <xdr:sp macro="" textlink="">
      <xdr:nvSpPr>
        <xdr:cNvPr id="5" name="Shape 5"/>
        <xdr:cNvSpPr/>
      </xdr:nvSpPr>
      <xdr:spPr>
        <a:xfrm>
          <a:off x="707325" y="2822738"/>
          <a:ext cx="9277350" cy="1914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457200" lvl="0" indent="-457200" algn="just" rtl="0">
            <a:spcBef>
              <a:spcPts val="0"/>
            </a:spcBef>
            <a:spcAft>
              <a:spcPts val="0"/>
            </a:spcAft>
            <a:buSzPts val="2700"/>
            <a:buFont typeface="Arial"/>
            <a:buChar char="•"/>
          </a:pPr>
          <a:r>
            <a:rPr lang="en-US" sz="2700" b="1">
              <a:latin typeface="Arial Rounded"/>
              <a:ea typeface="Arial Rounded"/>
              <a:cs typeface="Arial Rounded"/>
              <a:sym typeface="Arial Rounded"/>
            </a:rPr>
            <a:t>Critério de pontuação de correlação das variáveis:</a:t>
          </a:r>
          <a:endParaRPr sz="1400"/>
        </a:p>
        <a:p>
          <a:pPr marL="914400" lvl="1" indent="-457200" algn="just" rtl="0">
            <a:spcBef>
              <a:spcPts val="0"/>
            </a:spcBef>
            <a:spcAft>
              <a:spcPts val="0"/>
            </a:spcAft>
            <a:buSzPts val="2700"/>
            <a:buFont typeface="Arial"/>
            <a:buChar char="•"/>
          </a:pPr>
          <a:r>
            <a:rPr lang="en-US" sz="2700" b="1">
              <a:latin typeface="Arial Rounded"/>
              <a:ea typeface="Arial Rounded"/>
              <a:cs typeface="Arial Rounded"/>
              <a:sym typeface="Arial Rounded"/>
            </a:rPr>
            <a:t>Correlação nula = 0;</a:t>
          </a:r>
          <a:endParaRPr sz="1400"/>
        </a:p>
        <a:p>
          <a:pPr marL="914400" lvl="1" indent="-457200" algn="just" rtl="0">
            <a:spcBef>
              <a:spcPts val="0"/>
            </a:spcBef>
            <a:spcAft>
              <a:spcPts val="0"/>
            </a:spcAft>
            <a:buSzPts val="2700"/>
            <a:buFont typeface="Arial"/>
            <a:buChar char="•"/>
          </a:pPr>
          <a:r>
            <a:rPr lang="en-US" sz="2700" b="1">
              <a:latin typeface="Arial Rounded"/>
              <a:ea typeface="Arial Rounded"/>
              <a:cs typeface="Arial Rounded"/>
              <a:sym typeface="Arial Rounded"/>
            </a:rPr>
            <a:t>Correlação Positiva = 1;</a:t>
          </a:r>
          <a:endParaRPr sz="1400"/>
        </a:p>
        <a:p>
          <a:pPr marL="914400" lvl="1" indent="-457200" algn="just" rtl="0">
            <a:spcBef>
              <a:spcPts val="0"/>
            </a:spcBef>
            <a:spcAft>
              <a:spcPts val="0"/>
            </a:spcAft>
            <a:buSzPts val="2700"/>
            <a:buFont typeface="Arial"/>
            <a:buChar char="•"/>
          </a:pPr>
          <a:r>
            <a:rPr lang="en-US" sz="2700" b="1">
              <a:latin typeface="Arial Rounded"/>
              <a:ea typeface="Arial Rounded"/>
              <a:cs typeface="Arial Rounded"/>
              <a:sym typeface="Arial Rounded"/>
            </a:rPr>
            <a:t>Correlação Muito Positiva = 2;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chemeClr val="dk2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solidFill>
              <a:schemeClr val="dk2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44</xdr:row>
      <xdr:rowOff>95250</xdr:rowOff>
    </xdr:from>
    <xdr:ext cx="19459575" cy="12858750"/>
    <xdr:pic>
      <xdr:nvPicPr>
        <xdr:cNvPr id="2" name="image1.png" descr="Uma imagem contendo captura de tela&#10;&#10;Descrição gerada automaticamente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abSelected="1" workbookViewId="0">
      <selection activeCell="C5" sqref="C5"/>
    </sheetView>
  </sheetViews>
  <sheetFormatPr defaultColWidth="11.19921875" defaultRowHeight="15" customHeight="1" x14ac:dyDescent="0.3"/>
  <cols>
    <col min="1" max="1" width="29" customWidth="1"/>
    <col min="2" max="2" width="21" customWidth="1"/>
    <col min="3" max="4" width="86.69921875" customWidth="1"/>
    <col min="5" max="23" width="21.69921875" customWidth="1"/>
    <col min="24" max="27" width="11.09765625" customWidth="1"/>
  </cols>
  <sheetData>
    <row r="1" spans="1:27" ht="42" customHeight="1" x14ac:dyDescent="0.3">
      <c r="A1" s="1" t="s">
        <v>0</v>
      </c>
      <c r="B1" s="82" t="s">
        <v>1</v>
      </c>
      <c r="C1" s="83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42.75" customHeight="1" x14ac:dyDescent="0.3">
      <c r="A2" s="1" t="s">
        <v>2</v>
      </c>
      <c r="B2" s="82" t="s">
        <v>219</v>
      </c>
      <c r="C2" s="83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71.25" customHeight="1" x14ac:dyDescent="0.3">
      <c r="A3" s="84" t="s">
        <v>3</v>
      </c>
      <c r="B3" s="4" t="s">
        <v>4</v>
      </c>
      <c r="C3" s="5" t="s">
        <v>221</v>
      </c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71.25" customHeight="1" x14ac:dyDescent="0.3">
      <c r="A4" s="85"/>
      <c r="B4" s="4" t="s">
        <v>5</v>
      </c>
      <c r="C4" s="5" t="s">
        <v>220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0" customHeight="1" x14ac:dyDescent="0.3">
      <c r="A5" s="86"/>
      <c r="B5" s="4" t="s">
        <v>6</v>
      </c>
      <c r="C5" s="5" t="s">
        <v>222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32.75" customHeight="1" x14ac:dyDescent="0.3">
      <c r="A6" s="1" t="s">
        <v>7</v>
      </c>
      <c r="B6" s="87" t="s">
        <v>8</v>
      </c>
      <c r="C6" s="83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8" x14ac:dyDescent="0.35">
      <c r="A7" s="7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7.399999999999999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7.399999999999999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7.399999999999999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7.399999999999999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7.399999999999999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7.399999999999999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7.399999999999999" x14ac:dyDescent="0.3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7.399999999999999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7.399999999999999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7.399999999999999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7.399999999999999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7.399999999999999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 x14ac:dyDescent="0.3"/>
    <row r="222" spans="1:27" ht="15.75" customHeight="1" x14ac:dyDescent="0.3"/>
    <row r="223" spans="1:27" ht="15.75" customHeight="1" x14ac:dyDescent="0.3"/>
    <row r="224" spans="1:27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B1:C1"/>
    <mergeCell ref="B2:C2"/>
    <mergeCell ref="A3:A5"/>
    <mergeCell ref="B6:C6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>
      <selection activeCell="C5" sqref="C5"/>
    </sheetView>
  </sheetViews>
  <sheetFormatPr defaultColWidth="11.19921875" defaultRowHeight="15" customHeight="1" x14ac:dyDescent="0.3"/>
  <cols>
    <col min="1" max="1" width="8.69921875" customWidth="1"/>
    <col min="2" max="2" width="3.69921875" customWidth="1"/>
    <col min="3" max="3" width="57.796875" customWidth="1"/>
    <col min="4" max="4" width="68.09765625" customWidth="1"/>
    <col min="5" max="21" width="10.69921875" customWidth="1"/>
    <col min="22" max="26" width="11.09765625" customWidth="1"/>
  </cols>
  <sheetData>
    <row r="1" spans="1:21" ht="48" customHeight="1" x14ac:dyDescent="0.3">
      <c r="A1" s="88"/>
      <c r="B1" s="91" t="s">
        <v>9</v>
      </c>
      <c r="C1" s="92"/>
      <c r="D1" s="9" t="s">
        <v>10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7.399999999999999" x14ac:dyDescent="0.3">
      <c r="A2" s="89"/>
      <c r="B2" s="93" t="s">
        <v>11</v>
      </c>
      <c r="C2" s="10" t="s">
        <v>12</v>
      </c>
      <c r="D2" s="11" t="s">
        <v>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7.399999999999999" x14ac:dyDescent="0.3">
      <c r="A3" s="89"/>
      <c r="B3" s="94"/>
      <c r="C3" s="12" t="s">
        <v>14</v>
      </c>
      <c r="D3" s="11" t="s">
        <v>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7.399999999999999" x14ac:dyDescent="0.3">
      <c r="A4" s="89"/>
      <c r="B4" s="93" t="s">
        <v>16</v>
      </c>
      <c r="C4" s="12" t="s">
        <v>17</v>
      </c>
      <c r="D4" s="11" t="s">
        <v>18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20.25" customHeight="1" x14ac:dyDescent="0.3">
      <c r="A5" s="89"/>
      <c r="B5" s="94"/>
      <c r="C5" s="12" t="s">
        <v>19</v>
      </c>
      <c r="D5" s="11" t="s">
        <v>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7.399999999999999" x14ac:dyDescent="0.3">
      <c r="A6" s="89"/>
      <c r="B6" s="93" t="s">
        <v>21</v>
      </c>
      <c r="C6" s="12" t="s">
        <v>22</v>
      </c>
      <c r="D6" s="11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9.5" customHeight="1" x14ac:dyDescent="0.3">
      <c r="A7" s="89"/>
      <c r="B7" s="94"/>
      <c r="C7" s="12" t="s">
        <v>24</v>
      </c>
      <c r="D7" s="11" t="s">
        <v>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20.25" customHeight="1" x14ac:dyDescent="0.3">
      <c r="A8" s="89"/>
      <c r="B8" s="93" t="s">
        <v>26</v>
      </c>
      <c r="C8" s="12" t="s">
        <v>27</v>
      </c>
      <c r="D8" s="11" t="s">
        <v>28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7.399999999999999" x14ac:dyDescent="0.3">
      <c r="A9" s="90"/>
      <c r="B9" s="95"/>
      <c r="C9" s="12" t="s">
        <v>29</v>
      </c>
      <c r="D9" s="11" t="s">
        <v>30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8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8" customHeight="1" x14ac:dyDescent="0.3">
      <c r="A11" s="3"/>
      <c r="B11" s="3" t="s">
        <v>11</v>
      </c>
      <c r="C11" s="13" t="s">
        <v>31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8" customHeight="1" x14ac:dyDescent="0.3">
      <c r="A12" s="3"/>
      <c r="B12" s="3" t="s">
        <v>16</v>
      </c>
      <c r="C12" s="13" t="s">
        <v>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8" customHeight="1" x14ac:dyDescent="0.3">
      <c r="A13" s="3"/>
      <c r="B13" s="3" t="s">
        <v>33</v>
      </c>
      <c r="C13" s="13" t="s">
        <v>34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8" customHeight="1" x14ac:dyDescent="0.3">
      <c r="A14" s="3"/>
      <c r="B14" s="3" t="s">
        <v>26</v>
      </c>
      <c r="C14" s="13" t="s">
        <v>35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8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8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8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8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8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8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8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8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8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8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8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8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8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8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8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8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8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8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8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8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8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8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8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8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8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8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8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8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8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8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8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8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8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8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8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8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8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8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8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8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8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8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8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8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8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8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8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8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8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8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8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8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8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8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8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8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8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8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8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8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8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8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8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8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8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8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8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8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8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8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8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8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8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8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8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8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8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8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8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8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8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8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8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8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8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8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8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8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8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8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8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8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8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8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8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8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8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8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8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8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8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8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8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8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8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8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8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8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8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8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8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8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8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8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8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8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8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8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8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8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8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8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8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8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8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8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8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8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8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8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8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8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8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8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8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8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8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8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8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8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8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8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8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8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8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8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8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8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8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8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8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8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8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8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8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8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8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8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8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8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8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8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8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8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8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8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8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8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8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8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8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8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8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8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8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8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8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8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8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8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8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8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8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8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8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8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8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8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8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8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8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8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8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8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8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8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8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8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8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8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8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8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8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8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8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5.75" customHeight="1" x14ac:dyDescent="0.3"/>
    <row r="222" spans="1:21" ht="15.75" customHeight="1" x14ac:dyDescent="0.3"/>
    <row r="223" spans="1:21" ht="15.75" customHeight="1" x14ac:dyDescent="0.3"/>
    <row r="224" spans="1:21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1:A9"/>
    <mergeCell ref="B1:C1"/>
    <mergeCell ref="B2:B3"/>
    <mergeCell ref="B4:B5"/>
    <mergeCell ref="B6:B7"/>
    <mergeCell ref="B8:B9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topLeftCell="A28" workbookViewId="0">
      <selection sqref="A1:A42"/>
    </sheetView>
  </sheetViews>
  <sheetFormatPr defaultColWidth="11.19921875" defaultRowHeight="15" customHeight="1" x14ac:dyDescent="0.3"/>
  <cols>
    <col min="1" max="1" width="4.69921875" customWidth="1"/>
    <col min="2" max="2" width="4" customWidth="1"/>
    <col min="3" max="3" width="3.69921875" customWidth="1"/>
    <col min="4" max="4" width="97.296875" customWidth="1"/>
    <col min="5" max="5" width="15" customWidth="1"/>
    <col min="6" max="6" width="13.69921875" customWidth="1"/>
    <col min="7" max="7" width="14.796875" customWidth="1"/>
    <col min="8" max="24" width="10.69921875" customWidth="1"/>
    <col min="25" max="26" width="11.09765625" customWidth="1"/>
  </cols>
  <sheetData>
    <row r="1" spans="1:24" ht="18" customHeight="1" x14ac:dyDescent="0.3">
      <c r="A1" s="96" t="s">
        <v>36</v>
      </c>
      <c r="B1" s="3"/>
      <c r="C1" s="3"/>
      <c r="D1" s="14" t="s">
        <v>37</v>
      </c>
      <c r="E1" s="14" t="s">
        <v>38</v>
      </c>
      <c r="F1" s="14" t="s">
        <v>39</v>
      </c>
      <c r="G1" s="14" t="s">
        <v>40</v>
      </c>
      <c r="H1" s="15">
        <v>27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4" customHeight="1" x14ac:dyDescent="0.3">
      <c r="A2" s="97"/>
      <c r="B2" s="98" t="s">
        <v>41</v>
      </c>
      <c r="C2" s="100" t="s">
        <v>42</v>
      </c>
      <c r="D2" s="16" t="str">
        <f>'ANÁLISE DE AMBIENTE - PEST'!C2</f>
        <v>Incentivos Governamentais</v>
      </c>
      <c r="E2" s="17">
        <v>5</v>
      </c>
      <c r="F2" s="17">
        <v>5</v>
      </c>
      <c r="G2" s="17">
        <v>3</v>
      </c>
      <c r="H2" s="18">
        <f t="shared" ref="H2:H9" si="0">E2*F2*G2</f>
        <v>75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8" customHeight="1" x14ac:dyDescent="0.3">
      <c r="A3" s="97"/>
      <c r="B3" s="99"/>
      <c r="C3" s="85"/>
      <c r="D3" s="16" t="str">
        <f>'ANÁLISE DE AMBIENTE - PEST'!C3</f>
        <v>Acordos Comerciais</v>
      </c>
      <c r="E3" s="17">
        <v>4</v>
      </c>
      <c r="F3" s="17">
        <v>4</v>
      </c>
      <c r="G3" s="17">
        <v>3</v>
      </c>
      <c r="H3" s="18">
        <f t="shared" si="0"/>
        <v>48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8" customHeight="1" x14ac:dyDescent="0.3">
      <c r="A4" s="97"/>
      <c r="B4" s="99"/>
      <c r="C4" s="85"/>
      <c r="D4" s="16" t="str">
        <f>'ANÁLISE DE AMBIENTE - PEST'!C4</f>
        <v>Crescimento Econômico</v>
      </c>
      <c r="E4" s="17">
        <v>3</v>
      </c>
      <c r="F4" s="17">
        <v>5</v>
      </c>
      <c r="G4" s="17">
        <v>2</v>
      </c>
      <c r="H4" s="18">
        <f t="shared" si="0"/>
        <v>30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8" customHeight="1" x14ac:dyDescent="0.3">
      <c r="A5" s="97"/>
      <c r="B5" s="99"/>
      <c r="C5" s="85"/>
      <c r="D5" s="16" t="str">
        <f>'ANÁLISE DE AMBIENTE - PEST'!C5</f>
        <v>Acessibilidade ao Crédito</v>
      </c>
      <c r="E5" s="17">
        <v>5</v>
      </c>
      <c r="F5" s="17">
        <v>2</v>
      </c>
      <c r="G5" s="17">
        <v>3</v>
      </c>
      <c r="H5" s="18">
        <f t="shared" si="0"/>
        <v>30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8" customHeight="1" x14ac:dyDescent="0.3">
      <c r="A6" s="97"/>
      <c r="B6" s="99"/>
      <c r="C6" s="85"/>
      <c r="D6" s="16" t="str">
        <f>'ANÁLISE DE AMBIENTE - PEST'!C6</f>
        <v>Mudanças nos Comportamentos do Consumidor</v>
      </c>
      <c r="E6" s="17">
        <v>2</v>
      </c>
      <c r="F6" s="17">
        <v>4</v>
      </c>
      <c r="G6" s="17">
        <v>2</v>
      </c>
      <c r="H6" s="18">
        <f t="shared" si="0"/>
        <v>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8" customHeight="1" x14ac:dyDescent="0.3">
      <c r="A7" s="97"/>
      <c r="B7" s="99"/>
      <c r="C7" s="85"/>
      <c r="D7" s="16" t="str">
        <f>'ANÁLISE DE AMBIENTE - PEST'!C7</f>
        <v>Maior Inclusão Social</v>
      </c>
      <c r="E7" s="17">
        <v>3</v>
      </c>
      <c r="F7" s="17">
        <v>5</v>
      </c>
      <c r="G7" s="17">
        <v>4</v>
      </c>
      <c r="H7" s="18">
        <f t="shared" si="0"/>
        <v>60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8" customHeight="1" x14ac:dyDescent="0.3">
      <c r="A8" s="97"/>
      <c r="B8" s="99"/>
      <c r="C8" s="85"/>
      <c r="D8" s="16" t="str">
        <f>'ANÁLISE DE AMBIENTE - PEST'!C8</f>
        <v>Avanços em Tecnologia</v>
      </c>
      <c r="E8" s="17">
        <v>3</v>
      </c>
      <c r="F8" s="17">
        <v>2</v>
      </c>
      <c r="G8" s="17">
        <v>3</v>
      </c>
      <c r="H8" s="18">
        <f t="shared" si="0"/>
        <v>18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8" customHeight="1" x14ac:dyDescent="0.3">
      <c r="A9" s="97"/>
      <c r="B9" s="99"/>
      <c r="C9" s="85"/>
      <c r="D9" s="16" t="str">
        <f>'ANÁLISE DE AMBIENTE - PEST'!C9</f>
        <v>Adoção Digital</v>
      </c>
      <c r="E9" s="17">
        <v>2</v>
      </c>
      <c r="F9" s="17">
        <v>3</v>
      </c>
      <c r="G9" s="17">
        <v>3</v>
      </c>
      <c r="H9" s="18">
        <f t="shared" si="0"/>
        <v>18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97"/>
      <c r="B10" s="99"/>
      <c r="C10" s="85"/>
      <c r="D10" s="19"/>
      <c r="E10" s="20"/>
      <c r="F10" s="20"/>
      <c r="G10" s="17"/>
      <c r="H10" s="1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8" customHeight="1" x14ac:dyDescent="0.3">
      <c r="A11" s="97"/>
      <c r="B11" s="99"/>
      <c r="C11" s="86"/>
      <c r="D11" s="19"/>
      <c r="E11" s="20"/>
      <c r="F11" s="20"/>
      <c r="G11" s="20"/>
      <c r="H11" s="2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7.399999999999999" x14ac:dyDescent="0.3">
      <c r="A12" s="97"/>
      <c r="B12" s="99"/>
      <c r="C12" s="100" t="s">
        <v>10</v>
      </c>
      <c r="D12" s="21" t="str">
        <f>'ANÁLISE DE AMBIENTE - PEST'!D2</f>
        <v>Instabilidade Política</v>
      </c>
      <c r="E12" s="17">
        <v>4</v>
      </c>
      <c r="F12" s="17">
        <v>2</v>
      </c>
      <c r="G12" s="17">
        <v>3</v>
      </c>
      <c r="H12" s="18">
        <f t="shared" ref="H12:H19" si="1">E12*F12*G12</f>
        <v>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7.399999999999999" x14ac:dyDescent="0.3">
      <c r="A13" s="97"/>
      <c r="B13" s="99"/>
      <c r="C13" s="85"/>
      <c r="D13" s="21" t="str">
        <f>'ANÁLISE DE AMBIENTE - PEST'!D3</f>
        <v>Regulações Rigorosas</v>
      </c>
      <c r="E13" s="17">
        <v>3</v>
      </c>
      <c r="F13" s="17">
        <v>4</v>
      </c>
      <c r="G13" s="17">
        <v>3</v>
      </c>
      <c r="H13" s="18">
        <f t="shared" si="1"/>
        <v>36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7.399999999999999" x14ac:dyDescent="0.3">
      <c r="A14" s="97"/>
      <c r="B14" s="99"/>
      <c r="C14" s="85"/>
      <c r="D14" s="21" t="str">
        <f>'ANÁLISE DE AMBIENTE - PEST'!D4</f>
        <v>Recessões Econômicas</v>
      </c>
      <c r="E14" s="17">
        <v>2</v>
      </c>
      <c r="F14" s="17">
        <v>2</v>
      </c>
      <c r="G14" s="17">
        <v>4</v>
      </c>
      <c r="H14" s="18">
        <f t="shared" si="1"/>
        <v>16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7.399999999999999" x14ac:dyDescent="0.3">
      <c r="A15" s="97"/>
      <c r="B15" s="99"/>
      <c r="C15" s="85"/>
      <c r="D15" s="21" t="str">
        <f>'ANÁLISE DE AMBIENTE - PEST'!D5</f>
        <v>Inflação Acelerada</v>
      </c>
      <c r="E15" s="17">
        <v>1</v>
      </c>
      <c r="F15" s="17">
        <v>2</v>
      </c>
      <c r="G15" s="17">
        <v>4</v>
      </c>
      <c r="H15" s="18">
        <f t="shared" si="1"/>
        <v>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7.399999999999999" x14ac:dyDescent="0.3">
      <c r="A16" s="97"/>
      <c r="B16" s="99"/>
      <c r="C16" s="85"/>
      <c r="D16" s="21" t="str">
        <f>'ANÁLISE DE AMBIENTE - PEST'!D6</f>
        <v>Mudança de Preferências</v>
      </c>
      <c r="E16" s="17">
        <v>3</v>
      </c>
      <c r="F16" s="17">
        <v>3</v>
      </c>
      <c r="G16" s="17">
        <v>3</v>
      </c>
      <c r="H16" s="18">
        <f t="shared" si="1"/>
        <v>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7.399999999999999" x14ac:dyDescent="0.3">
      <c r="A17" s="97"/>
      <c r="B17" s="99"/>
      <c r="C17" s="85"/>
      <c r="D17" s="21" t="str">
        <f>'ANÁLISE DE AMBIENTE - PEST'!D7</f>
        <v>Descontentamento Social</v>
      </c>
      <c r="E17" s="17">
        <v>2</v>
      </c>
      <c r="F17" s="17">
        <v>3</v>
      </c>
      <c r="G17" s="17">
        <v>4</v>
      </c>
      <c r="H17" s="18">
        <f t="shared" si="1"/>
        <v>24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7.399999999999999" x14ac:dyDescent="0.3">
      <c r="A18" s="97"/>
      <c r="B18" s="99"/>
      <c r="C18" s="85"/>
      <c r="D18" s="21" t="str">
        <f>'ANÁLISE DE AMBIENTE - PEST'!D8</f>
        <v>Rápida Obsolescência</v>
      </c>
      <c r="E18" s="17">
        <v>1</v>
      </c>
      <c r="F18" s="17">
        <v>2</v>
      </c>
      <c r="G18" s="17">
        <v>4</v>
      </c>
      <c r="H18" s="18">
        <f t="shared" si="1"/>
        <v>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7.399999999999999" x14ac:dyDescent="0.3">
      <c r="A19" s="97"/>
      <c r="B19" s="99"/>
      <c r="C19" s="85"/>
      <c r="D19" s="21" t="str">
        <f>'ANÁLISE DE AMBIENTE - PEST'!D9</f>
        <v>Cibersegurança</v>
      </c>
      <c r="E19" s="17">
        <v>3</v>
      </c>
      <c r="F19" s="17">
        <v>3</v>
      </c>
      <c r="G19" s="17">
        <v>4</v>
      </c>
      <c r="H19" s="18">
        <f t="shared" si="1"/>
        <v>36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8" customHeight="1" x14ac:dyDescent="0.3">
      <c r="A20" s="97"/>
      <c r="B20" s="99"/>
      <c r="C20" s="85"/>
      <c r="D20" s="19"/>
      <c r="E20" s="22"/>
      <c r="F20" s="22"/>
      <c r="G20" s="22"/>
      <c r="H20" s="1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8" customHeight="1" x14ac:dyDescent="0.3">
      <c r="A21" s="97"/>
      <c r="B21" s="99"/>
      <c r="C21" s="86"/>
      <c r="D21" s="19"/>
      <c r="E21" s="23"/>
      <c r="F21" s="23"/>
      <c r="G21" s="23"/>
      <c r="H21" s="2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8" customHeight="1" x14ac:dyDescent="0.3">
      <c r="A22" s="97"/>
      <c r="B22" s="98" t="s">
        <v>43</v>
      </c>
      <c r="C22" s="100" t="s">
        <v>44</v>
      </c>
      <c r="D22" s="24" t="s">
        <v>45</v>
      </c>
      <c r="E22" s="25">
        <v>5</v>
      </c>
      <c r="F22" s="25">
        <v>4</v>
      </c>
      <c r="G22" s="25">
        <v>3</v>
      </c>
      <c r="H22" s="18">
        <f t="shared" ref="H22:H29" si="2">E22*F22*G22</f>
        <v>60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8" customHeight="1" x14ac:dyDescent="0.3">
      <c r="A23" s="97"/>
      <c r="B23" s="99"/>
      <c r="C23" s="85"/>
      <c r="D23" s="17" t="s">
        <v>46</v>
      </c>
      <c r="E23" s="25">
        <v>4</v>
      </c>
      <c r="F23" s="25">
        <v>4</v>
      </c>
      <c r="G23" s="25">
        <v>3</v>
      </c>
      <c r="H23" s="18">
        <f t="shared" si="2"/>
        <v>48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8" customHeight="1" x14ac:dyDescent="0.3">
      <c r="A24" s="97"/>
      <c r="B24" s="99"/>
      <c r="C24" s="85"/>
      <c r="D24" s="26" t="s">
        <v>47</v>
      </c>
      <c r="E24" s="25">
        <v>4</v>
      </c>
      <c r="F24" s="25">
        <v>3</v>
      </c>
      <c r="G24" s="25">
        <v>2</v>
      </c>
      <c r="H24" s="18">
        <f t="shared" si="2"/>
        <v>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8" customHeight="1" x14ac:dyDescent="0.3">
      <c r="A25" s="97"/>
      <c r="B25" s="99"/>
      <c r="C25" s="85"/>
      <c r="D25" s="26" t="s">
        <v>48</v>
      </c>
      <c r="E25" s="25">
        <v>3</v>
      </c>
      <c r="F25" s="25">
        <v>3</v>
      </c>
      <c r="G25" s="25">
        <v>3</v>
      </c>
      <c r="H25" s="18">
        <f t="shared" si="2"/>
        <v>27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8" customHeight="1" x14ac:dyDescent="0.3">
      <c r="A26" s="97"/>
      <c r="B26" s="99"/>
      <c r="C26" s="85"/>
      <c r="D26" s="26" t="s">
        <v>49</v>
      </c>
      <c r="E26" s="25">
        <v>5</v>
      </c>
      <c r="F26" s="25">
        <v>5</v>
      </c>
      <c r="G26" s="25">
        <v>5</v>
      </c>
      <c r="H26" s="18">
        <f t="shared" si="2"/>
        <v>125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8" customHeight="1" x14ac:dyDescent="0.3">
      <c r="A27" s="97"/>
      <c r="B27" s="99"/>
      <c r="C27" s="85"/>
      <c r="D27" s="26" t="s">
        <v>50</v>
      </c>
      <c r="E27" s="25">
        <v>4</v>
      </c>
      <c r="F27" s="25">
        <v>3</v>
      </c>
      <c r="G27" s="25">
        <v>2</v>
      </c>
      <c r="H27" s="18">
        <f t="shared" si="2"/>
        <v>24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8" customHeight="1" x14ac:dyDescent="0.3">
      <c r="A28" s="97"/>
      <c r="B28" s="99"/>
      <c r="C28" s="85"/>
      <c r="D28" s="26" t="s">
        <v>51</v>
      </c>
      <c r="E28" s="25">
        <v>2</v>
      </c>
      <c r="F28" s="25">
        <v>3</v>
      </c>
      <c r="G28" s="25">
        <v>2</v>
      </c>
      <c r="H28" s="18">
        <f t="shared" si="2"/>
        <v>12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8" customHeight="1" x14ac:dyDescent="0.3">
      <c r="A29" s="97"/>
      <c r="B29" s="99"/>
      <c r="C29" s="85"/>
      <c r="D29" s="26" t="s">
        <v>52</v>
      </c>
      <c r="E29" s="25">
        <v>5</v>
      </c>
      <c r="F29" s="25">
        <v>5</v>
      </c>
      <c r="G29" s="25">
        <v>2</v>
      </c>
      <c r="H29" s="18">
        <f t="shared" si="2"/>
        <v>50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8" customHeight="1" x14ac:dyDescent="0.3">
      <c r="A30" s="97"/>
      <c r="B30" s="99"/>
      <c r="C30" s="85"/>
      <c r="D30" s="19"/>
      <c r="E30" s="23"/>
      <c r="F30" s="23"/>
      <c r="G30" s="23"/>
      <c r="H30" s="1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8" customHeight="1" x14ac:dyDescent="0.3">
      <c r="A31" s="97"/>
      <c r="B31" s="99"/>
      <c r="C31" s="86"/>
      <c r="D31" s="19"/>
      <c r="E31" s="23"/>
      <c r="F31" s="23"/>
      <c r="G31" s="23"/>
      <c r="H31" s="2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8" customHeight="1" x14ac:dyDescent="0.3">
      <c r="A32" s="97"/>
      <c r="B32" s="99"/>
      <c r="C32" s="100" t="s">
        <v>53</v>
      </c>
      <c r="D32" s="17" t="s">
        <v>54</v>
      </c>
      <c r="E32" s="25">
        <v>5</v>
      </c>
      <c r="F32" s="25">
        <v>3</v>
      </c>
      <c r="G32" s="25">
        <v>3</v>
      </c>
      <c r="H32" s="18">
        <f t="shared" ref="H32:H40" si="3">E32*F32*G32</f>
        <v>45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8" customHeight="1" x14ac:dyDescent="0.3">
      <c r="A33" s="97"/>
      <c r="B33" s="99"/>
      <c r="C33" s="85"/>
      <c r="D33" s="26" t="s">
        <v>55</v>
      </c>
      <c r="E33" s="25">
        <v>4</v>
      </c>
      <c r="F33" s="25">
        <v>4</v>
      </c>
      <c r="G33" s="25">
        <v>3</v>
      </c>
      <c r="H33" s="18">
        <f t="shared" si="3"/>
        <v>48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8" customHeight="1" x14ac:dyDescent="0.3">
      <c r="A34" s="97"/>
      <c r="B34" s="99"/>
      <c r="C34" s="85"/>
      <c r="D34" s="26" t="s">
        <v>56</v>
      </c>
      <c r="E34" s="25">
        <v>3</v>
      </c>
      <c r="F34" s="25">
        <v>3</v>
      </c>
      <c r="G34" s="25">
        <v>3</v>
      </c>
      <c r="H34" s="18">
        <f t="shared" si="3"/>
        <v>27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8" customHeight="1" x14ac:dyDescent="0.3">
      <c r="A35" s="97"/>
      <c r="B35" s="99"/>
      <c r="C35" s="85"/>
      <c r="D35" s="26" t="s">
        <v>57</v>
      </c>
      <c r="E35" s="25">
        <v>5</v>
      </c>
      <c r="F35" s="25">
        <v>4</v>
      </c>
      <c r="G35" s="25">
        <v>2</v>
      </c>
      <c r="H35" s="18">
        <f t="shared" si="3"/>
        <v>40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8" customHeight="1" x14ac:dyDescent="0.3">
      <c r="A36" s="97"/>
      <c r="B36" s="99"/>
      <c r="C36" s="85"/>
      <c r="D36" s="26" t="s">
        <v>58</v>
      </c>
      <c r="E36" s="27">
        <v>4</v>
      </c>
      <c r="F36" s="25">
        <v>4</v>
      </c>
      <c r="G36" s="25">
        <v>1</v>
      </c>
      <c r="H36" s="18">
        <f t="shared" si="3"/>
        <v>16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8" customHeight="1" x14ac:dyDescent="0.3">
      <c r="A37" s="97"/>
      <c r="B37" s="99"/>
      <c r="C37" s="85"/>
      <c r="D37" s="28" t="s">
        <v>59</v>
      </c>
      <c r="E37" s="25">
        <v>5</v>
      </c>
      <c r="F37" s="25">
        <v>4</v>
      </c>
      <c r="G37" s="25">
        <v>1</v>
      </c>
      <c r="H37" s="18">
        <f t="shared" si="3"/>
        <v>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8" customHeight="1" x14ac:dyDescent="0.3">
      <c r="A38" s="97"/>
      <c r="B38" s="99"/>
      <c r="C38" s="85"/>
      <c r="D38" s="29" t="s">
        <v>60</v>
      </c>
      <c r="E38" s="25">
        <v>5</v>
      </c>
      <c r="F38" s="25">
        <v>5</v>
      </c>
      <c r="G38" s="25">
        <v>2</v>
      </c>
      <c r="H38" s="18">
        <f t="shared" si="3"/>
        <v>50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8" customHeight="1" x14ac:dyDescent="0.3">
      <c r="A39" s="97"/>
      <c r="B39" s="99"/>
      <c r="C39" s="85"/>
      <c r="D39" s="26" t="s">
        <v>61</v>
      </c>
      <c r="E39" s="25">
        <v>4</v>
      </c>
      <c r="F39" s="25">
        <v>3</v>
      </c>
      <c r="G39" s="25">
        <v>1</v>
      </c>
      <c r="H39" s="18">
        <f t="shared" si="3"/>
        <v>12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8" customHeight="1" x14ac:dyDescent="0.3">
      <c r="A40" s="97"/>
      <c r="B40" s="99"/>
      <c r="C40" s="85"/>
      <c r="D40" s="17" t="s">
        <v>62</v>
      </c>
      <c r="E40" s="25">
        <v>2</v>
      </c>
      <c r="F40" s="25">
        <v>2</v>
      </c>
      <c r="G40" s="25">
        <v>5</v>
      </c>
      <c r="H40" s="18">
        <f t="shared" si="3"/>
        <v>20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8" customHeight="1" x14ac:dyDescent="0.3">
      <c r="A41" s="97"/>
      <c r="B41" s="99"/>
      <c r="C41" s="85"/>
      <c r="D41" s="30"/>
      <c r="E41" s="23"/>
      <c r="F41" s="23"/>
      <c r="G41" s="23"/>
      <c r="H41" s="1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8" customHeight="1" x14ac:dyDescent="0.3">
      <c r="A42" s="97"/>
      <c r="B42" s="99"/>
      <c r="C42" s="86"/>
      <c r="D42" s="30"/>
      <c r="E42" s="23"/>
      <c r="F42" s="23"/>
      <c r="G42" s="23"/>
      <c r="H42" s="2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 x14ac:dyDescent="0.3">
      <c r="A43" s="3"/>
      <c r="B43" s="3"/>
      <c r="C43" s="3"/>
      <c r="D43" s="31" t="s">
        <v>63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8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8" customHeight="1" x14ac:dyDescent="0.3">
      <c r="A45" s="3"/>
      <c r="B45" s="3"/>
      <c r="C45" s="3"/>
      <c r="D45" s="1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8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8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8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8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8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8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8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8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8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8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8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8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8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8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8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8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8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8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8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8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8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8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8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8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8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8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8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8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8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8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8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8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8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8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8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8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8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8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8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8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8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8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8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8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8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8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8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8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8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8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8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8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8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8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8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8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8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8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8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8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8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8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8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8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8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8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8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8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8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8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8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8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8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8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8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8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8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8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8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8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8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8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8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8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8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8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8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8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8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8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8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8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8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8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8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8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8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8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8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8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8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8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8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8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8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8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8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8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8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8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8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8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8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8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8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8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8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8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8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8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8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8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8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8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8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8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8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8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8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8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8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8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8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8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8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8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8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8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8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8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8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8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8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8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8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8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8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8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8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8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8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8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8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8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8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8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8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8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8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8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8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8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8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8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8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8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8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8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8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8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8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8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8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8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8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8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8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8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8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8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8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8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8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8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8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8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8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8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8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8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8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8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8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8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8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8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8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3"/>
    <row r="245" spans="1:24" ht="15.75" customHeight="1" x14ac:dyDescent="0.3"/>
    <row r="246" spans="1:24" ht="15.75" customHeight="1" x14ac:dyDescent="0.3"/>
    <row r="247" spans="1:24" ht="15.75" customHeight="1" x14ac:dyDescent="0.3"/>
    <row r="248" spans="1:24" ht="15.75" customHeight="1" x14ac:dyDescent="0.3"/>
    <row r="249" spans="1:24" ht="15.75" customHeight="1" x14ac:dyDescent="0.3"/>
    <row r="250" spans="1:24" ht="15.75" customHeight="1" x14ac:dyDescent="0.3"/>
    <row r="251" spans="1:24" ht="15.75" customHeight="1" x14ac:dyDescent="0.3"/>
    <row r="252" spans="1:24" ht="15.75" customHeight="1" x14ac:dyDescent="0.3"/>
    <row r="253" spans="1:24" ht="15.75" customHeight="1" x14ac:dyDescent="0.3"/>
    <row r="254" spans="1:24" ht="15.75" customHeight="1" x14ac:dyDescent="0.3"/>
    <row r="255" spans="1:24" ht="15.75" customHeight="1" x14ac:dyDescent="0.3"/>
    <row r="256" spans="1:24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7">
    <mergeCell ref="A1:A42"/>
    <mergeCell ref="B2:B21"/>
    <mergeCell ref="C2:C11"/>
    <mergeCell ref="C12:C21"/>
    <mergeCell ref="B22:B42"/>
    <mergeCell ref="C22:C31"/>
    <mergeCell ref="C32:C42"/>
  </mergeCells>
  <conditionalFormatting sqref="H2:H9 H12:H19 H22:H29 H32:H40">
    <cfRule type="cellIs" dxfId="3" priority="1" operator="greaterThanOrEqual">
      <formula>$H$1</formula>
    </cfRule>
  </conditionalFormatting>
  <conditionalFormatting sqref="H2:H9 H12:H19 H22:H29 H32:H40">
    <cfRule type="cellIs" dxfId="2" priority="2" operator="greaterThan">
      <formula>60</formula>
    </cfRule>
  </conditionalFormatting>
  <pageMargins left="0.511811024" right="0.511811024" top="0.78740157499999996" bottom="0.78740157499999996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>
      <selection sqref="A1:A51"/>
    </sheetView>
  </sheetViews>
  <sheetFormatPr defaultColWidth="11.19921875" defaultRowHeight="15" customHeight="1" x14ac:dyDescent="0.3"/>
  <cols>
    <col min="1" max="1" width="4.69921875" customWidth="1"/>
    <col min="2" max="2" width="8" customWidth="1"/>
    <col min="3" max="3" width="101.3984375" customWidth="1"/>
    <col min="4" max="4" width="15" customWidth="1"/>
    <col min="5" max="5" width="13.69921875" customWidth="1"/>
    <col min="6" max="6" width="14.796875" customWidth="1"/>
    <col min="7" max="23" width="10.69921875" customWidth="1"/>
    <col min="24" max="26" width="11.09765625" customWidth="1"/>
  </cols>
  <sheetData>
    <row r="1" spans="1:23" ht="18" customHeight="1" x14ac:dyDescent="0.3">
      <c r="A1" s="96" t="s">
        <v>36</v>
      </c>
      <c r="B1" s="3"/>
      <c r="C1" s="14" t="s">
        <v>37</v>
      </c>
      <c r="D1" s="14" t="s">
        <v>38</v>
      </c>
      <c r="E1" s="14" t="s">
        <v>39</v>
      </c>
      <c r="F1" s="14" t="s">
        <v>40</v>
      </c>
      <c r="G1" s="15">
        <v>27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8" customHeight="1" x14ac:dyDescent="0.3">
      <c r="A2" s="97"/>
      <c r="B2" s="101" t="s">
        <v>64</v>
      </c>
      <c r="C2" s="32" t="s">
        <v>65</v>
      </c>
      <c r="D2" s="32">
        <v>5</v>
      </c>
      <c r="E2" s="32">
        <v>5</v>
      </c>
      <c r="F2" s="32">
        <v>5</v>
      </c>
      <c r="G2" s="33">
        <f t="shared" ref="G2:G51" si="0">D2*E2*F2</f>
        <v>125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6.5" customHeight="1" x14ac:dyDescent="0.3">
      <c r="A3" s="97"/>
      <c r="B3" s="85"/>
      <c r="C3" s="32" t="s">
        <v>66</v>
      </c>
      <c r="D3" s="32">
        <v>4</v>
      </c>
      <c r="E3" s="32">
        <v>3</v>
      </c>
      <c r="F3" s="32">
        <v>3</v>
      </c>
      <c r="G3" s="33">
        <f t="shared" si="0"/>
        <v>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8" customHeight="1" x14ac:dyDescent="0.3">
      <c r="A4" s="97"/>
      <c r="B4" s="85"/>
      <c r="C4" s="32" t="s">
        <v>67</v>
      </c>
      <c r="D4" s="32">
        <v>2</v>
      </c>
      <c r="E4" s="32">
        <v>3</v>
      </c>
      <c r="F4" s="32">
        <v>2</v>
      </c>
      <c r="G4" s="33">
        <f t="shared" si="0"/>
        <v>12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8" customHeight="1" x14ac:dyDescent="0.3">
      <c r="A5" s="97"/>
      <c r="B5" s="85"/>
      <c r="C5" s="32" t="s">
        <v>68</v>
      </c>
      <c r="D5" s="32">
        <v>5</v>
      </c>
      <c r="E5" s="32">
        <v>5</v>
      </c>
      <c r="F5" s="32">
        <v>5</v>
      </c>
      <c r="G5" s="33">
        <f t="shared" si="0"/>
        <v>125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8" customHeight="1" x14ac:dyDescent="0.3">
      <c r="A6" s="97"/>
      <c r="B6" s="85"/>
      <c r="C6" s="32" t="s">
        <v>69</v>
      </c>
      <c r="D6" s="32">
        <v>3</v>
      </c>
      <c r="E6" s="32">
        <v>3</v>
      </c>
      <c r="F6" s="32">
        <v>3</v>
      </c>
      <c r="G6" s="33">
        <f t="shared" si="0"/>
        <v>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8" customHeight="1" x14ac:dyDescent="0.3">
      <c r="A7" s="97"/>
      <c r="B7" s="85"/>
      <c r="C7" s="32" t="s">
        <v>70</v>
      </c>
      <c r="D7" s="32">
        <v>3</v>
      </c>
      <c r="E7" s="32">
        <v>2</v>
      </c>
      <c r="F7" s="32">
        <v>3</v>
      </c>
      <c r="G7" s="33">
        <f t="shared" si="0"/>
        <v>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8" customHeight="1" x14ac:dyDescent="0.3">
      <c r="A8" s="97"/>
      <c r="B8" s="85"/>
      <c r="C8" s="32" t="s">
        <v>71</v>
      </c>
      <c r="D8" s="32">
        <v>4</v>
      </c>
      <c r="E8" s="32">
        <v>3</v>
      </c>
      <c r="F8" s="32">
        <v>3</v>
      </c>
      <c r="G8" s="33">
        <f t="shared" si="0"/>
        <v>36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8" customHeight="1" x14ac:dyDescent="0.3">
      <c r="A9" s="97"/>
      <c r="B9" s="85"/>
      <c r="C9" s="32" t="s">
        <v>72</v>
      </c>
      <c r="D9" s="32">
        <v>3</v>
      </c>
      <c r="E9" s="32">
        <v>2</v>
      </c>
      <c r="F9" s="32">
        <v>2</v>
      </c>
      <c r="G9" s="33">
        <f t="shared" si="0"/>
        <v>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8" customHeight="1" x14ac:dyDescent="0.3">
      <c r="A10" s="97"/>
      <c r="B10" s="85"/>
      <c r="C10" s="30"/>
      <c r="D10" s="34"/>
      <c r="E10" s="34"/>
      <c r="F10" s="34"/>
      <c r="G10" s="33">
        <f t="shared" si="0"/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8" customHeight="1" x14ac:dyDescent="0.3">
      <c r="A11" s="97"/>
      <c r="B11" s="86"/>
      <c r="C11" s="30"/>
      <c r="D11" s="34"/>
      <c r="E11" s="34"/>
      <c r="F11" s="34"/>
      <c r="G11" s="33">
        <f t="shared" si="0"/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8" customHeight="1" x14ac:dyDescent="0.3">
      <c r="A12" s="97"/>
      <c r="B12" s="101" t="s">
        <v>73</v>
      </c>
      <c r="C12" s="35" t="s">
        <v>74</v>
      </c>
      <c r="D12" s="32">
        <v>5</v>
      </c>
      <c r="E12" s="32">
        <v>5</v>
      </c>
      <c r="F12" s="32">
        <v>5</v>
      </c>
      <c r="G12" s="33">
        <f t="shared" si="0"/>
        <v>125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8" customHeight="1" x14ac:dyDescent="0.3">
      <c r="A13" s="97"/>
      <c r="B13" s="85"/>
      <c r="C13" s="35" t="s">
        <v>75</v>
      </c>
      <c r="D13" s="32">
        <v>3</v>
      </c>
      <c r="E13" s="32">
        <v>2</v>
      </c>
      <c r="F13" s="32">
        <v>3</v>
      </c>
      <c r="G13" s="33">
        <f t="shared" si="0"/>
        <v>18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8" customHeight="1" x14ac:dyDescent="0.3">
      <c r="A14" s="97"/>
      <c r="B14" s="85"/>
      <c r="C14" s="35" t="s">
        <v>76</v>
      </c>
      <c r="D14" s="32">
        <v>4</v>
      </c>
      <c r="E14" s="32">
        <v>4</v>
      </c>
      <c r="F14" s="32">
        <v>3</v>
      </c>
      <c r="G14" s="33">
        <f t="shared" si="0"/>
        <v>48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8" customHeight="1" x14ac:dyDescent="0.3">
      <c r="A15" s="97"/>
      <c r="B15" s="85"/>
      <c r="C15" s="35" t="s">
        <v>77</v>
      </c>
      <c r="D15" s="32">
        <v>2</v>
      </c>
      <c r="E15" s="32">
        <v>3</v>
      </c>
      <c r="F15" s="32">
        <v>2</v>
      </c>
      <c r="G15" s="33">
        <f t="shared" si="0"/>
        <v>12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8" customHeight="1" x14ac:dyDescent="0.3">
      <c r="A16" s="97"/>
      <c r="B16" s="85"/>
      <c r="C16" s="35" t="s">
        <v>78</v>
      </c>
      <c r="D16" s="32">
        <v>3</v>
      </c>
      <c r="E16" s="32">
        <v>2</v>
      </c>
      <c r="F16" s="32">
        <v>3</v>
      </c>
      <c r="G16" s="33">
        <f t="shared" si="0"/>
        <v>18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8" customHeight="1" x14ac:dyDescent="0.3">
      <c r="A17" s="97"/>
      <c r="B17" s="85"/>
      <c r="C17" s="35" t="s">
        <v>79</v>
      </c>
      <c r="D17" s="32">
        <v>3</v>
      </c>
      <c r="E17" s="32">
        <v>3</v>
      </c>
      <c r="F17" s="32">
        <v>1</v>
      </c>
      <c r="G17" s="33">
        <f t="shared" si="0"/>
        <v>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8" customHeight="1" x14ac:dyDescent="0.3">
      <c r="A18" s="97"/>
      <c r="B18" s="85"/>
      <c r="C18" s="35" t="s">
        <v>80</v>
      </c>
      <c r="D18" s="32">
        <v>3</v>
      </c>
      <c r="E18" s="32">
        <v>3</v>
      </c>
      <c r="F18" s="32">
        <v>3</v>
      </c>
      <c r="G18" s="33">
        <f t="shared" si="0"/>
        <v>27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8" customHeight="1" x14ac:dyDescent="0.3">
      <c r="A19" s="97"/>
      <c r="B19" s="85"/>
      <c r="C19" s="35" t="s">
        <v>81</v>
      </c>
      <c r="D19" s="32">
        <v>3</v>
      </c>
      <c r="E19" s="32">
        <v>4</v>
      </c>
      <c r="F19" s="32">
        <v>3</v>
      </c>
      <c r="G19" s="33">
        <f t="shared" si="0"/>
        <v>36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8" customHeight="1" x14ac:dyDescent="0.3">
      <c r="A20" s="97"/>
      <c r="B20" s="85"/>
      <c r="C20" s="30"/>
      <c r="G20" s="33">
        <f t="shared" si="0"/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8" customHeight="1" x14ac:dyDescent="0.3">
      <c r="A21" s="97"/>
      <c r="B21" s="86"/>
      <c r="C21" s="30"/>
      <c r="D21" s="36"/>
      <c r="E21" s="36"/>
      <c r="F21" s="36"/>
      <c r="G21" s="33">
        <f t="shared" si="0"/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8" customHeight="1" x14ac:dyDescent="0.3">
      <c r="A22" s="97"/>
      <c r="B22" s="101" t="s">
        <v>82</v>
      </c>
      <c r="C22" s="32" t="s">
        <v>83</v>
      </c>
      <c r="D22" s="37">
        <v>4</v>
      </c>
      <c r="E22" s="37">
        <v>4</v>
      </c>
      <c r="F22" s="37">
        <v>5</v>
      </c>
      <c r="G22" s="33">
        <f t="shared" si="0"/>
        <v>80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8" customHeight="1" x14ac:dyDescent="0.3">
      <c r="A23" s="97"/>
      <c r="B23" s="85"/>
      <c r="C23" s="32" t="s">
        <v>84</v>
      </c>
      <c r="D23" s="37">
        <v>4</v>
      </c>
      <c r="E23" s="37">
        <v>3</v>
      </c>
      <c r="F23" s="37">
        <v>3</v>
      </c>
      <c r="G23" s="33">
        <f t="shared" si="0"/>
        <v>36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8" customHeight="1" x14ac:dyDescent="0.3">
      <c r="A24" s="97"/>
      <c r="B24" s="85"/>
      <c r="C24" s="32" t="s">
        <v>85</v>
      </c>
      <c r="D24" s="37">
        <v>2</v>
      </c>
      <c r="E24" s="37">
        <v>3</v>
      </c>
      <c r="F24" s="37">
        <v>2</v>
      </c>
      <c r="G24" s="33">
        <f t="shared" si="0"/>
        <v>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8" customHeight="1" x14ac:dyDescent="0.3">
      <c r="A25" s="97"/>
      <c r="B25" s="85"/>
      <c r="C25" s="32" t="s">
        <v>86</v>
      </c>
      <c r="D25" s="37">
        <v>5</v>
      </c>
      <c r="E25" s="37">
        <v>4</v>
      </c>
      <c r="F25" s="37">
        <v>3</v>
      </c>
      <c r="G25" s="33">
        <f t="shared" si="0"/>
        <v>60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8" customHeight="1" x14ac:dyDescent="0.3">
      <c r="A26" s="97"/>
      <c r="B26" s="85"/>
      <c r="C26" s="32" t="s">
        <v>87</v>
      </c>
      <c r="D26" s="37">
        <v>4</v>
      </c>
      <c r="E26" s="37">
        <v>4</v>
      </c>
      <c r="F26" s="37">
        <v>4</v>
      </c>
      <c r="G26" s="33">
        <f t="shared" si="0"/>
        <v>64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8" customHeight="1" x14ac:dyDescent="0.3">
      <c r="A27" s="97"/>
      <c r="B27" s="85"/>
      <c r="C27" s="32" t="s">
        <v>88</v>
      </c>
      <c r="D27" s="37">
        <v>2</v>
      </c>
      <c r="E27" s="37">
        <v>2</v>
      </c>
      <c r="F27" s="37">
        <v>3</v>
      </c>
      <c r="G27" s="33">
        <f t="shared" si="0"/>
        <v>12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8" customHeight="1" x14ac:dyDescent="0.3">
      <c r="A28" s="97"/>
      <c r="B28" s="85"/>
      <c r="C28" s="38" t="s">
        <v>89</v>
      </c>
      <c r="D28" s="37">
        <v>4</v>
      </c>
      <c r="E28" s="37">
        <v>4</v>
      </c>
      <c r="F28" s="37">
        <v>4</v>
      </c>
      <c r="G28" s="33">
        <f t="shared" si="0"/>
        <v>64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8" customHeight="1" x14ac:dyDescent="0.3">
      <c r="A29" s="97"/>
      <c r="B29" s="85"/>
      <c r="C29" s="38" t="s">
        <v>90</v>
      </c>
      <c r="D29" s="37">
        <v>3</v>
      </c>
      <c r="E29" s="37">
        <v>3</v>
      </c>
      <c r="F29" s="37">
        <v>3</v>
      </c>
      <c r="G29" s="33">
        <f t="shared" si="0"/>
        <v>27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8" customHeight="1" x14ac:dyDescent="0.3">
      <c r="A30" s="97"/>
      <c r="B30" s="85"/>
      <c r="C30" s="30"/>
      <c r="D30" s="36"/>
      <c r="E30" s="36"/>
      <c r="F30" s="36"/>
      <c r="G30" s="33">
        <f t="shared" si="0"/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8" customHeight="1" x14ac:dyDescent="0.3">
      <c r="A31" s="97"/>
      <c r="B31" s="86"/>
      <c r="C31" s="30"/>
      <c r="D31" s="36"/>
      <c r="E31" s="36"/>
      <c r="F31" s="36"/>
      <c r="G31" s="33">
        <f t="shared" si="0"/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8" customHeight="1" x14ac:dyDescent="0.3">
      <c r="A32" s="97"/>
      <c r="B32" s="101" t="s">
        <v>91</v>
      </c>
      <c r="C32" s="32" t="s">
        <v>92</v>
      </c>
      <c r="D32" s="37">
        <v>4</v>
      </c>
      <c r="E32" s="37">
        <v>3</v>
      </c>
      <c r="F32" s="37">
        <v>3</v>
      </c>
      <c r="G32" s="33">
        <f t="shared" si="0"/>
        <v>36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8" customHeight="1" x14ac:dyDescent="0.3">
      <c r="A33" s="97"/>
      <c r="B33" s="85"/>
      <c r="C33" s="32" t="s">
        <v>93</v>
      </c>
      <c r="D33" s="37">
        <v>3</v>
      </c>
      <c r="E33" s="37">
        <v>2</v>
      </c>
      <c r="F33" s="37">
        <v>3</v>
      </c>
      <c r="G33" s="33">
        <f t="shared" si="0"/>
        <v>18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8" customHeight="1" x14ac:dyDescent="0.3">
      <c r="A34" s="97"/>
      <c r="B34" s="85"/>
      <c r="C34" s="32" t="s">
        <v>94</v>
      </c>
      <c r="D34" s="37">
        <v>4</v>
      </c>
      <c r="E34" s="37">
        <v>5</v>
      </c>
      <c r="F34" s="37">
        <v>4</v>
      </c>
      <c r="G34" s="33">
        <f t="shared" si="0"/>
        <v>80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8" customHeight="1" x14ac:dyDescent="0.3">
      <c r="A35" s="97"/>
      <c r="B35" s="85"/>
      <c r="C35" s="32" t="s">
        <v>95</v>
      </c>
      <c r="D35" s="37">
        <v>4</v>
      </c>
      <c r="E35" s="37">
        <v>3</v>
      </c>
      <c r="F35" s="37">
        <v>3</v>
      </c>
      <c r="G35" s="33">
        <f t="shared" si="0"/>
        <v>36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8" customHeight="1" x14ac:dyDescent="0.3">
      <c r="A36" s="97"/>
      <c r="B36" s="85"/>
      <c r="C36" s="32" t="s">
        <v>96</v>
      </c>
      <c r="D36" s="37">
        <v>2</v>
      </c>
      <c r="E36" s="37">
        <v>2</v>
      </c>
      <c r="F36" s="37">
        <v>2</v>
      </c>
      <c r="G36" s="33">
        <f t="shared" si="0"/>
        <v>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8" customHeight="1" x14ac:dyDescent="0.3">
      <c r="A37" s="97"/>
      <c r="B37" s="85"/>
      <c r="C37" s="32" t="s">
        <v>97</v>
      </c>
      <c r="D37" s="37">
        <v>3</v>
      </c>
      <c r="E37" s="37">
        <v>3</v>
      </c>
      <c r="F37" s="37">
        <v>3</v>
      </c>
      <c r="G37" s="33">
        <f t="shared" si="0"/>
        <v>27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8" customHeight="1" x14ac:dyDescent="0.3">
      <c r="A38" s="97"/>
      <c r="B38" s="85"/>
      <c r="C38" s="32" t="s">
        <v>98</v>
      </c>
      <c r="D38" s="37">
        <v>1</v>
      </c>
      <c r="E38" s="37">
        <v>1</v>
      </c>
      <c r="F38" s="37">
        <v>2</v>
      </c>
      <c r="G38" s="33">
        <f t="shared" si="0"/>
        <v>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8" customHeight="1" x14ac:dyDescent="0.3">
      <c r="A39" s="97"/>
      <c r="B39" s="85"/>
      <c r="C39" s="32" t="s">
        <v>99</v>
      </c>
      <c r="D39" s="37">
        <v>3</v>
      </c>
      <c r="E39" s="37">
        <v>2</v>
      </c>
      <c r="F39" s="37">
        <v>3</v>
      </c>
      <c r="G39" s="33">
        <f t="shared" si="0"/>
        <v>18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8" customHeight="1" x14ac:dyDescent="0.3">
      <c r="A40" s="97"/>
      <c r="B40" s="85"/>
      <c r="C40" s="30"/>
      <c r="D40" s="36"/>
      <c r="E40" s="36"/>
      <c r="F40" s="36"/>
      <c r="G40" s="33">
        <f t="shared" si="0"/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8" customHeight="1" x14ac:dyDescent="0.3">
      <c r="A41" s="97"/>
      <c r="B41" s="86"/>
      <c r="C41" s="30"/>
      <c r="D41" s="37"/>
      <c r="E41" s="36"/>
      <c r="F41" s="36"/>
      <c r="G41" s="33">
        <f t="shared" si="0"/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8" customHeight="1" x14ac:dyDescent="0.3">
      <c r="A42" s="97"/>
      <c r="B42" s="101" t="s">
        <v>100</v>
      </c>
      <c r="C42" s="32" t="s">
        <v>101</v>
      </c>
      <c r="D42" s="37">
        <v>3</v>
      </c>
      <c r="E42" s="37">
        <v>3</v>
      </c>
      <c r="F42" s="37">
        <v>3</v>
      </c>
      <c r="G42" s="33">
        <f t="shared" si="0"/>
        <v>27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8" customHeight="1" x14ac:dyDescent="0.3">
      <c r="A43" s="97"/>
      <c r="B43" s="85"/>
      <c r="C43" s="32" t="s">
        <v>102</v>
      </c>
      <c r="D43" s="37">
        <v>5</v>
      </c>
      <c r="E43" s="37">
        <v>5</v>
      </c>
      <c r="F43" s="37">
        <v>5</v>
      </c>
      <c r="G43" s="33">
        <f t="shared" si="0"/>
        <v>125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8" customHeight="1" x14ac:dyDescent="0.3">
      <c r="A44" s="97"/>
      <c r="B44" s="85"/>
      <c r="C44" s="32" t="s">
        <v>103</v>
      </c>
      <c r="D44" s="37">
        <v>3</v>
      </c>
      <c r="E44" s="37">
        <v>2</v>
      </c>
      <c r="F44" s="37">
        <v>2</v>
      </c>
      <c r="G44" s="33">
        <f t="shared" si="0"/>
        <v>12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8" customHeight="1" x14ac:dyDescent="0.3">
      <c r="A45" s="97"/>
      <c r="B45" s="85"/>
      <c r="C45" s="34"/>
      <c r="D45" s="36"/>
      <c r="E45" s="36"/>
      <c r="F45" s="36"/>
      <c r="G45" s="33">
        <f t="shared" si="0"/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8" customHeight="1" x14ac:dyDescent="0.3">
      <c r="A46" s="97"/>
      <c r="B46" s="85"/>
      <c r="C46" s="34"/>
      <c r="D46" s="36"/>
      <c r="E46" s="36"/>
      <c r="F46" s="36"/>
      <c r="G46" s="33">
        <f t="shared" si="0"/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8" customHeight="1" x14ac:dyDescent="0.3">
      <c r="A47" s="97"/>
      <c r="B47" s="85"/>
      <c r="C47" s="34"/>
      <c r="D47" s="36"/>
      <c r="E47" s="36"/>
      <c r="F47" s="36"/>
      <c r="G47" s="33">
        <f t="shared" si="0"/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8" customHeight="1" x14ac:dyDescent="0.3">
      <c r="A48" s="97"/>
      <c r="B48" s="85"/>
      <c r="C48" s="34"/>
      <c r="D48" s="36"/>
      <c r="E48" s="36"/>
      <c r="F48" s="36"/>
      <c r="G48" s="33">
        <f t="shared" si="0"/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8" customHeight="1" x14ac:dyDescent="0.3">
      <c r="A49" s="97"/>
      <c r="B49" s="85"/>
      <c r="C49" s="34"/>
      <c r="D49" s="36"/>
      <c r="E49" s="36"/>
      <c r="F49" s="36"/>
      <c r="G49" s="33">
        <f t="shared" si="0"/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8" customHeight="1" x14ac:dyDescent="0.3">
      <c r="A50" s="97"/>
      <c r="B50" s="85"/>
      <c r="C50" s="30"/>
      <c r="D50" s="36"/>
      <c r="E50" s="36"/>
      <c r="F50" s="36"/>
      <c r="G50" s="33">
        <f t="shared" si="0"/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8" customHeight="1" x14ac:dyDescent="0.3">
      <c r="A51" s="97"/>
      <c r="B51" s="86"/>
      <c r="C51" s="30"/>
      <c r="D51" s="36"/>
      <c r="E51" s="36"/>
      <c r="F51" s="36"/>
      <c r="G51" s="33">
        <f t="shared" si="0"/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 x14ac:dyDescent="0.3">
      <c r="A52" s="3"/>
      <c r="B52" s="3"/>
      <c r="C52" s="3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8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8" customHeight="1" x14ac:dyDescent="0.3">
      <c r="A54" s="3"/>
      <c r="B54" s="3"/>
      <c r="C54" s="1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8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8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8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8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8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8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8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8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8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8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8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8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8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8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8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8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8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8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8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8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8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8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8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8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8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8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8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8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8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8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8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8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8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8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8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8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8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8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8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8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8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8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8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8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8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8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8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8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8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8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8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8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8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8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8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8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8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8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8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8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8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8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8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8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8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8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8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8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8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8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8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8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8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8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8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8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8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8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8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8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8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8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8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8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8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8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8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8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8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8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8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8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8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8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8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8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8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8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8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8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8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8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8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8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8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8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8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8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8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8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8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8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8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8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8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8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8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8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8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8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8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8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8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8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8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8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8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8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8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8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8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8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8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8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8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8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8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8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8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8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8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8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8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8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8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8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8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8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8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8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8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8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8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8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8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8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8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8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8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8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8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8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8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8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8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8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8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8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8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8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8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8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8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8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8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8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8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8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8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8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8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8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8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8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8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8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8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8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8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8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8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8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8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8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8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8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 x14ac:dyDescent="0.3"/>
    <row r="253" spans="1:23" ht="15.75" customHeight="1" x14ac:dyDescent="0.3"/>
    <row r="254" spans="1:23" ht="15.75" customHeight="1" x14ac:dyDescent="0.3"/>
    <row r="255" spans="1:23" ht="15.75" customHeight="1" x14ac:dyDescent="0.3"/>
    <row r="256" spans="1:23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1:A51"/>
    <mergeCell ref="B2:B11"/>
    <mergeCell ref="B12:B21"/>
    <mergeCell ref="B22:B31"/>
    <mergeCell ref="B32:B41"/>
    <mergeCell ref="B42:B51"/>
  </mergeCells>
  <conditionalFormatting sqref="G2:G51">
    <cfRule type="cellIs" dxfId="1" priority="1" operator="greaterThanOrEqual">
      <formula>$G$1</formula>
    </cfRule>
  </conditionalFormatting>
  <conditionalFormatting sqref="G2:G51">
    <cfRule type="cellIs" dxfId="0" priority="2" operator="greaterThan">
      <formula>60</formula>
    </cfRule>
  </conditionalFormatting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0"/>
  <sheetViews>
    <sheetView workbookViewId="0"/>
  </sheetViews>
  <sheetFormatPr defaultColWidth="11.19921875" defaultRowHeight="15" customHeight="1" x14ac:dyDescent="0.3"/>
  <cols>
    <col min="1" max="1" width="5.69921875" customWidth="1"/>
    <col min="2" max="11" width="5.796875" customWidth="1"/>
    <col min="12" max="12" width="7" customWidth="1"/>
    <col min="13" max="13" width="5.8984375" customWidth="1"/>
    <col min="14" max="14" width="6.296875" customWidth="1"/>
    <col min="15" max="15" width="6" customWidth="1"/>
    <col min="16" max="16" width="5.69921875" customWidth="1"/>
    <col min="17" max="17" width="6" customWidth="1"/>
    <col min="18" max="18" width="6.09765625" customWidth="1"/>
    <col min="19" max="20" width="5.59765625" customWidth="1"/>
    <col min="21" max="21" width="5.09765625" customWidth="1"/>
    <col min="22" max="23" width="4.59765625" customWidth="1"/>
    <col min="24" max="24" width="4.296875" customWidth="1"/>
    <col min="25" max="25" width="4.796875" customWidth="1"/>
    <col min="26" max="26" width="5" customWidth="1"/>
    <col min="27" max="27" width="4.59765625" customWidth="1"/>
    <col min="28" max="39" width="11.09765625" customWidth="1"/>
  </cols>
  <sheetData>
    <row r="1" spans="1:28" ht="33.75" customHeight="1" x14ac:dyDescent="0.3">
      <c r="A1" s="39"/>
      <c r="B1" s="103" t="s">
        <v>41</v>
      </c>
      <c r="C1" s="104"/>
      <c r="D1" s="104"/>
      <c r="E1" s="104"/>
      <c r="F1" s="104"/>
      <c r="G1" s="104"/>
      <c r="H1" s="104"/>
      <c r="I1" s="104"/>
      <c r="J1" s="104"/>
      <c r="K1" s="104"/>
      <c r="L1" s="91" t="s">
        <v>42</v>
      </c>
      <c r="M1" s="105"/>
      <c r="N1" s="105"/>
      <c r="O1" s="105"/>
      <c r="P1" s="105"/>
      <c r="Q1" s="105"/>
      <c r="R1" s="105"/>
      <c r="S1" s="106"/>
      <c r="T1" s="91" t="s">
        <v>10</v>
      </c>
      <c r="U1" s="105"/>
      <c r="V1" s="105"/>
      <c r="W1" s="105"/>
      <c r="X1" s="105"/>
      <c r="Y1" s="105"/>
      <c r="Z1" s="105"/>
      <c r="AA1" s="106"/>
      <c r="AB1" s="40"/>
    </row>
    <row r="2" spans="1:28" ht="24" customHeight="1" x14ac:dyDescent="0.3">
      <c r="A2" s="119" t="s">
        <v>43</v>
      </c>
      <c r="B2" s="41"/>
      <c r="C2" s="42"/>
      <c r="D2" s="42"/>
      <c r="E2" s="42"/>
      <c r="F2" s="42"/>
      <c r="G2" s="107" t="s">
        <v>104</v>
      </c>
      <c r="H2" s="104"/>
      <c r="I2" s="104"/>
      <c r="J2" s="104"/>
      <c r="K2" s="108"/>
      <c r="L2" s="102" t="str">
        <f>'DIAGNÓASTICO ORGANIZACIONAL '!D2</f>
        <v>Incentivos Governamentais</v>
      </c>
      <c r="M2" s="102" t="str">
        <f>'DIAGNÓASTICO ORGANIZACIONAL '!D3</f>
        <v>Acordos Comerciais</v>
      </c>
      <c r="N2" s="102" t="str">
        <f>'DIAGNÓASTICO ORGANIZACIONAL '!D4</f>
        <v>Crescimento Econômico</v>
      </c>
      <c r="O2" s="102" t="str">
        <f>'DIAGNÓASTICO ORGANIZACIONAL '!D5</f>
        <v>Acessibilidade ao Crédito</v>
      </c>
      <c r="P2" s="102" t="str">
        <f>'DIAGNÓASTICO ORGANIZACIONAL '!D6</f>
        <v>Mudanças nos Comportamentos do Consumidor</v>
      </c>
      <c r="Q2" s="102" t="str">
        <f>'DIAGNÓASTICO ORGANIZACIONAL '!D7</f>
        <v>Maior Inclusão Social</v>
      </c>
      <c r="R2" s="102" t="str">
        <f>'DIAGNÓASTICO ORGANIZACIONAL '!D8</f>
        <v>Avanços em Tecnologia</v>
      </c>
      <c r="S2" s="102" t="str">
        <f>'DIAGNÓASTICO ORGANIZACIONAL '!D9</f>
        <v>Adoção Digital</v>
      </c>
      <c r="T2" s="102" t="str">
        <f>'DIAGNÓASTICO ORGANIZACIONAL '!D12</f>
        <v>Instabilidade Política</v>
      </c>
      <c r="U2" s="102" t="str">
        <f>'DIAGNÓASTICO ORGANIZACIONAL '!D13</f>
        <v>Regulações Rigorosas</v>
      </c>
      <c r="V2" s="102" t="str">
        <f>'DIAGNÓASTICO ORGANIZACIONAL '!D14</f>
        <v>Recessões Econômicas</v>
      </c>
      <c r="W2" s="102" t="str">
        <f>'DIAGNÓASTICO ORGANIZACIONAL '!D15</f>
        <v>Inflação Acelerada</v>
      </c>
      <c r="X2" s="102" t="str">
        <f>'DIAGNÓASTICO ORGANIZACIONAL '!D16</f>
        <v>Mudança de Preferências</v>
      </c>
      <c r="Y2" s="102" t="str">
        <f>'DIAGNÓASTICO ORGANIZACIONAL '!D17</f>
        <v>Descontentamento Social</v>
      </c>
      <c r="Z2" s="102" t="str">
        <f>'DIAGNÓASTICO ORGANIZACIONAL '!D18</f>
        <v>Rápida Obsolescência</v>
      </c>
      <c r="AA2" s="102" t="str">
        <f>'DIAGNÓASTICO ORGANIZACIONAL '!D19</f>
        <v>Cibersegurança</v>
      </c>
      <c r="AB2" s="117" t="s">
        <v>105</v>
      </c>
    </row>
    <row r="3" spans="1:28" ht="24" customHeight="1" x14ac:dyDescent="0.3">
      <c r="A3" s="109"/>
      <c r="B3" s="43"/>
      <c r="C3" s="44"/>
      <c r="D3" s="44"/>
      <c r="E3" s="44"/>
      <c r="F3" s="44"/>
      <c r="G3" s="109"/>
      <c r="H3" s="97"/>
      <c r="I3" s="97"/>
      <c r="J3" s="97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85"/>
    </row>
    <row r="4" spans="1:28" ht="24" customHeight="1" x14ac:dyDescent="0.3">
      <c r="A4" s="109"/>
      <c r="B4" s="43"/>
      <c r="C4" s="44"/>
      <c r="D4" s="44"/>
      <c r="E4" s="44"/>
      <c r="F4" s="44"/>
      <c r="G4" s="109"/>
      <c r="H4" s="97"/>
      <c r="I4" s="97"/>
      <c r="J4" s="97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85"/>
    </row>
    <row r="5" spans="1:28" ht="24" customHeight="1" x14ac:dyDescent="0.3">
      <c r="A5" s="109"/>
      <c r="B5" s="43"/>
      <c r="C5" s="44"/>
      <c r="D5" s="44"/>
      <c r="E5" s="44"/>
      <c r="F5" s="44"/>
      <c r="G5" s="109"/>
      <c r="H5" s="97"/>
      <c r="I5" s="97"/>
      <c r="J5" s="97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85"/>
    </row>
    <row r="6" spans="1:28" ht="24" customHeight="1" x14ac:dyDescent="0.3">
      <c r="A6" s="109"/>
      <c r="B6" s="43"/>
      <c r="C6" s="44"/>
      <c r="D6" s="44"/>
      <c r="E6" s="44"/>
      <c r="F6" s="44"/>
      <c r="G6" s="110"/>
      <c r="H6" s="111"/>
      <c r="I6" s="111"/>
      <c r="J6" s="111"/>
      <c r="K6" s="112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85"/>
    </row>
    <row r="7" spans="1:28" ht="24" customHeight="1" x14ac:dyDescent="0.3">
      <c r="A7" s="109"/>
      <c r="B7" s="107" t="s">
        <v>106</v>
      </c>
      <c r="C7" s="104"/>
      <c r="D7" s="104"/>
      <c r="E7" s="104"/>
      <c r="F7" s="108"/>
      <c r="G7" s="44"/>
      <c r="H7" s="44"/>
      <c r="I7" s="44"/>
      <c r="J7" s="44"/>
      <c r="K7" s="45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85"/>
    </row>
    <row r="8" spans="1:28" ht="24" customHeight="1" x14ac:dyDescent="0.3">
      <c r="A8" s="109"/>
      <c r="B8" s="109"/>
      <c r="C8" s="97"/>
      <c r="D8" s="97"/>
      <c r="E8" s="97"/>
      <c r="F8" s="99"/>
      <c r="G8" s="44"/>
      <c r="H8" s="44"/>
      <c r="I8" s="44"/>
      <c r="J8" s="44"/>
      <c r="K8" s="45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85"/>
    </row>
    <row r="9" spans="1:28" ht="24" customHeight="1" x14ac:dyDescent="0.3">
      <c r="A9" s="109"/>
      <c r="B9" s="109"/>
      <c r="C9" s="97"/>
      <c r="D9" s="97"/>
      <c r="E9" s="97"/>
      <c r="F9" s="99"/>
      <c r="G9" s="44"/>
      <c r="H9" s="44"/>
      <c r="I9" s="44"/>
      <c r="J9" s="44"/>
      <c r="K9" s="45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85"/>
    </row>
    <row r="10" spans="1:28" ht="24" customHeight="1" x14ac:dyDescent="0.3">
      <c r="A10" s="109"/>
      <c r="B10" s="109"/>
      <c r="C10" s="97"/>
      <c r="D10" s="97"/>
      <c r="E10" s="97"/>
      <c r="F10" s="99"/>
      <c r="G10" s="44"/>
      <c r="H10" s="44"/>
      <c r="I10" s="44"/>
      <c r="J10" s="44"/>
      <c r="K10" s="45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85"/>
    </row>
    <row r="11" spans="1:28" ht="24" customHeight="1" x14ac:dyDescent="0.3">
      <c r="A11" s="109"/>
      <c r="B11" s="110"/>
      <c r="C11" s="111"/>
      <c r="D11" s="111"/>
      <c r="E11" s="111"/>
      <c r="F11" s="112"/>
      <c r="G11" s="46"/>
      <c r="H11" s="46"/>
      <c r="I11" s="46"/>
      <c r="J11" s="46"/>
      <c r="K11" s="47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118"/>
    </row>
    <row r="12" spans="1:28" ht="24.75" customHeight="1" x14ac:dyDescent="0.3">
      <c r="A12" s="120" t="s">
        <v>44</v>
      </c>
      <c r="B12" s="114" t="str">
        <f>'DIAGNÓASTICO ORGANIZACIONAL '!D22</f>
        <v>Facilidade de Uso</v>
      </c>
      <c r="C12" s="111"/>
      <c r="D12" s="111"/>
      <c r="E12" s="111"/>
      <c r="F12" s="111"/>
      <c r="G12" s="111"/>
      <c r="H12" s="111"/>
      <c r="I12" s="111"/>
      <c r="J12" s="111"/>
      <c r="K12" s="111"/>
      <c r="L12" s="48">
        <v>0</v>
      </c>
      <c r="M12" s="48">
        <v>0</v>
      </c>
      <c r="N12" s="48">
        <v>0</v>
      </c>
      <c r="O12" s="48">
        <v>1</v>
      </c>
      <c r="P12" s="48">
        <v>1</v>
      </c>
      <c r="Q12" s="48">
        <v>2</v>
      </c>
      <c r="R12" s="48">
        <v>2</v>
      </c>
      <c r="S12" s="48">
        <v>1</v>
      </c>
      <c r="T12" s="49">
        <v>0</v>
      </c>
      <c r="U12" s="49">
        <v>0</v>
      </c>
      <c r="V12" s="49">
        <v>0</v>
      </c>
      <c r="W12" s="49">
        <v>2</v>
      </c>
      <c r="X12" s="49">
        <v>0</v>
      </c>
      <c r="Y12" s="49">
        <v>2</v>
      </c>
      <c r="Z12" s="49">
        <v>2</v>
      </c>
      <c r="AA12" s="49">
        <v>2</v>
      </c>
      <c r="AB12" s="50">
        <f t="shared" ref="AB12:AB21" si="0">SUM(L12:AA12)</f>
        <v>15</v>
      </c>
    </row>
    <row r="13" spans="1:28" ht="25.5" customHeight="1" x14ac:dyDescent="0.3">
      <c r="A13" s="121"/>
      <c r="B13" s="114" t="str">
        <f>'DIAGNÓASTICO ORGANIZACIONAL '!D23</f>
        <v xml:space="preserve">Equipe qualificada </v>
      </c>
      <c r="C13" s="111"/>
      <c r="D13" s="111"/>
      <c r="E13" s="111"/>
      <c r="F13" s="111"/>
      <c r="G13" s="111"/>
      <c r="H13" s="111"/>
      <c r="I13" s="111"/>
      <c r="J13" s="111"/>
      <c r="K13" s="111"/>
      <c r="L13" s="48">
        <v>1</v>
      </c>
      <c r="M13" s="48">
        <v>1</v>
      </c>
      <c r="N13" s="48">
        <v>1</v>
      </c>
      <c r="O13" s="48">
        <v>1</v>
      </c>
      <c r="P13" s="48">
        <v>2</v>
      </c>
      <c r="Q13" s="48">
        <v>2</v>
      </c>
      <c r="R13" s="48">
        <v>2</v>
      </c>
      <c r="S13" s="48">
        <v>1</v>
      </c>
      <c r="T13" s="49">
        <v>0</v>
      </c>
      <c r="U13" s="49">
        <v>0</v>
      </c>
      <c r="V13" s="49">
        <v>0</v>
      </c>
      <c r="W13" s="49">
        <v>1</v>
      </c>
      <c r="X13" s="49">
        <v>2</v>
      </c>
      <c r="Y13" s="49">
        <v>2</v>
      </c>
      <c r="Z13" s="49">
        <v>0</v>
      </c>
      <c r="AA13" s="49">
        <v>1</v>
      </c>
      <c r="AB13" s="51">
        <f t="shared" si="0"/>
        <v>17</v>
      </c>
    </row>
    <row r="14" spans="1:28" ht="30.75" customHeight="1" x14ac:dyDescent="0.3">
      <c r="A14" s="121"/>
      <c r="B14" s="114" t="str">
        <f>'DIAGNÓASTICO ORGANIZACIONAL '!D25</f>
        <v>Personalização de acordo com o cliente</v>
      </c>
      <c r="C14" s="111"/>
      <c r="D14" s="111"/>
      <c r="E14" s="111"/>
      <c r="F14" s="111"/>
      <c r="G14" s="111"/>
      <c r="H14" s="111"/>
      <c r="I14" s="111"/>
      <c r="J14" s="111"/>
      <c r="K14" s="111"/>
      <c r="L14" s="48">
        <v>1</v>
      </c>
      <c r="M14" s="48">
        <v>2</v>
      </c>
      <c r="N14" s="48">
        <v>1</v>
      </c>
      <c r="O14" s="48">
        <v>2</v>
      </c>
      <c r="P14" s="48">
        <v>1</v>
      </c>
      <c r="Q14" s="48">
        <v>2</v>
      </c>
      <c r="R14" s="48">
        <v>2</v>
      </c>
      <c r="S14" s="48">
        <v>1</v>
      </c>
      <c r="T14" s="49">
        <v>0</v>
      </c>
      <c r="U14" s="49">
        <v>0</v>
      </c>
      <c r="V14" s="49">
        <v>1</v>
      </c>
      <c r="W14" s="49">
        <v>2</v>
      </c>
      <c r="X14" s="49">
        <v>2</v>
      </c>
      <c r="Y14" s="49">
        <v>1</v>
      </c>
      <c r="Z14" s="49">
        <v>2</v>
      </c>
      <c r="AA14" s="49">
        <v>2</v>
      </c>
      <c r="AB14" s="50">
        <f t="shared" si="0"/>
        <v>22</v>
      </c>
    </row>
    <row r="15" spans="1:28" ht="28.5" customHeight="1" x14ac:dyDescent="0.3">
      <c r="A15" s="121"/>
      <c r="B15" s="114" t="str">
        <f>'DIAGNÓASTICO ORGANIZACIONAL '!D26</f>
        <v xml:space="preserve">Relacionamento com o cliente </v>
      </c>
      <c r="C15" s="111"/>
      <c r="D15" s="111"/>
      <c r="E15" s="111"/>
      <c r="F15" s="111"/>
      <c r="G15" s="111"/>
      <c r="H15" s="111"/>
      <c r="I15" s="111"/>
      <c r="J15" s="111"/>
      <c r="K15" s="111"/>
      <c r="L15" s="48">
        <v>1</v>
      </c>
      <c r="M15" s="48">
        <v>1</v>
      </c>
      <c r="N15" s="48">
        <v>1</v>
      </c>
      <c r="O15" s="48">
        <v>2</v>
      </c>
      <c r="P15" s="48">
        <v>2</v>
      </c>
      <c r="Q15" s="48">
        <v>1</v>
      </c>
      <c r="R15" s="48">
        <v>2</v>
      </c>
      <c r="S15" s="48">
        <v>1</v>
      </c>
      <c r="T15" s="49">
        <v>1</v>
      </c>
      <c r="U15" s="49">
        <v>0</v>
      </c>
      <c r="V15" s="49">
        <v>1</v>
      </c>
      <c r="W15" s="49">
        <v>2</v>
      </c>
      <c r="X15" s="49">
        <v>2</v>
      </c>
      <c r="Y15" s="49">
        <v>2</v>
      </c>
      <c r="Z15" s="49">
        <v>0</v>
      </c>
      <c r="AA15" s="49">
        <v>2</v>
      </c>
      <c r="AB15" s="51">
        <f t="shared" si="0"/>
        <v>21</v>
      </c>
    </row>
    <row r="16" spans="1:28" ht="27" customHeight="1" x14ac:dyDescent="0.3">
      <c r="A16" s="122"/>
      <c r="B16" s="114" t="str">
        <f>'DIAGNÓASTICO ORGANIZACIONAL '!D27</f>
        <v>Sustentabilidade</v>
      </c>
      <c r="C16" s="111"/>
      <c r="D16" s="111"/>
      <c r="E16" s="111"/>
      <c r="F16" s="111"/>
      <c r="G16" s="111"/>
      <c r="H16" s="111"/>
      <c r="I16" s="111"/>
      <c r="J16" s="111"/>
      <c r="K16" s="111"/>
      <c r="L16" s="48">
        <v>2</v>
      </c>
      <c r="M16" s="48">
        <v>2</v>
      </c>
      <c r="N16" s="48">
        <v>1</v>
      </c>
      <c r="O16" s="48">
        <v>1</v>
      </c>
      <c r="P16" s="48">
        <v>1</v>
      </c>
      <c r="Q16" s="48">
        <v>0</v>
      </c>
      <c r="R16" s="48">
        <v>2</v>
      </c>
      <c r="S16" s="48">
        <v>1</v>
      </c>
      <c r="T16" s="49">
        <v>2</v>
      </c>
      <c r="U16" s="49">
        <v>2</v>
      </c>
      <c r="V16" s="49">
        <v>1</v>
      </c>
      <c r="W16" s="49">
        <v>2</v>
      </c>
      <c r="X16" s="49">
        <v>0</v>
      </c>
      <c r="Y16" s="49">
        <v>2</v>
      </c>
      <c r="Z16" s="49">
        <v>2</v>
      </c>
      <c r="AA16" s="49">
        <v>2</v>
      </c>
      <c r="AB16" s="50">
        <f t="shared" si="0"/>
        <v>23</v>
      </c>
    </row>
    <row r="17" spans="1:28" ht="39.75" customHeight="1" x14ac:dyDescent="0.3">
      <c r="A17" s="120" t="s">
        <v>53</v>
      </c>
      <c r="B17" s="114" t="str">
        <f>'DIAGNÓASTICO ORGANIZACIONAL '!D32</f>
        <v>A falta de capital</v>
      </c>
      <c r="C17" s="111"/>
      <c r="D17" s="111"/>
      <c r="E17" s="111"/>
      <c r="F17" s="111"/>
      <c r="G17" s="111"/>
      <c r="H17" s="111"/>
      <c r="I17" s="111"/>
      <c r="J17" s="111"/>
      <c r="K17" s="111"/>
      <c r="L17" s="52">
        <v>1</v>
      </c>
      <c r="M17" s="52">
        <v>1</v>
      </c>
      <c r="N17" s="52">
        <v>2</v>
      </c>
      <c r="O17" s="52">
        <v>2</v>
      </c>
      <c r="P17" s="52">
        <v>0</v>
      </c>
      <c r="Q17" s="52">
        <v>0</v>
      </c>
      <c r="R17" s="52">
        <v>2</v>
      </c>
      <c r="S17" s="52">
        <v>0</v>
      </c>
      <c r="T17" s="53">
        <v>0</v>
      </c>
      <c r="U17" s="53">
        <v>0</v>
      </c>
      <c r="V17" s="53">
        <v>2</v>
      </c>
      <c r="W17" s="53">
        <v>2</v>
      </c>
      <c r="X17" s="53">
        <v>1</v>
      </c>
      <c r="Y17" s="53">
        <v>0</v>
      </c>
      <c r="Z17" s="53">
        <v>1</v>
      </c>
      <c r="AA17" s="54">
        <v>1</v>
      </c>
      <c r="AB17" s="55">
        <f t="shared" si="0"/>
        <v>15</v>
      </c>
    </row>
    <row r="18" spans="1:28" ht="30.75" customHeight="1" x14ac:dyDescent="0.3">
      <c r="A18" s="121"/>
      <c r="B18" s="114" t="str">
        <f>'DIAGNÓASTICO ORGANIZACIONAL '!D37</f>
        <v>Baixa disponibilidade de desgners</v>
      </c>
      <c r="C18" s="111"/>
      <c r="D18" s="111"/>
      <c r="E18" s="111"/>
      <c r="F18" s="111"/>
      <c r="G18" s="111"/>
      <c r="H18" s="111"/>
      <c r="I18" s="111"/>
      <c r="J18" s="111"/>
      <c r="K18" s="111"/>
      <c r="L18" s="52">
        <v>2</v>
      </c>
      <c r="M18" s="52">
        <v>2</v>
      </c>
      <c r="N18" s="52">
        <v>0</v>
      </c>
      <c r="O18" s="52">
        <v>0</v>
      </c>
      <c r="P18" s="52">
        <v>2</v>
      </c>
      <c r="Q18" s="52">
        <v>2</v>
      </c>
      <c r="R18" s="52">
        <v>2</v>
      </c>
      <c r="S18" s="52">
        <v>0</v>
      </c>
      <c r="T18" s="53">
        <v>0</v>
      </c>
      <c r="U18" s="53">
        <v>1</v>
      </c>
      <c r="V18" s="53">
        <v>1</v>
      </c>
      <c r="W18" s="53">
        <v>1</v>
      </c>
      <c r="X18" s="53">
        <v>1</v>
      </c>
      <c r="Y18" s="53">
        <v>0</v>
      </c>
      <c r="Z18" s="53">
        <v>2</v>
      </c>
      <c r="AA18" s="54">
        <v>1</v>
      </c>
      <c r="AB18" s="50">
        <f t="shared" si="0"/>
        <v>17</v>
      </c>
    </row>
    <row r="19" spans="1:28" ht="31.5" customHeight="1" x14ac:dyDescent="0.3">
      <c r="A19" s="121"/>
      <c r="B19" s="114" t="str">
        <f>'DIAGNÓASTICO ORGANIZACIONAL '!D38</f>
        <v>Inovar de forma significativa</v>
      </c>
      <c r="C19" s="111"/>
      <c r="D19" s="111"/>
      <c r="E19" s="111"/>
      <c r="F19" s="111"/>
      <c r="G19" s="111"/>
      <c r="H19" s="111"/>
      <c r="I19" s="111"/>
      <c r="J19" s="111"/>
      <c r="K19" s="111"/>
      <c r="L19" s="52">
        <v>0</v>
      </c>
      <c r="M19" s="52">
        <v>2</v>
      </c>
      <c r="N19" s="52">
        <v>1</v>
      </c>
      <c r="O19" s="52">
        <v>2</v>
      </c>
      <c r="P19" s="52">
        <v>2</v>
      </c>
      <c r="Q19" s="52">
        <v>0</v>
      </c>
      <c r="R19" s="52">
        <v>0</v>
      </c>
      <c r="S19" s="52">
        <v>2</v>
      </c>
      <c r="T19" s="53">
        <v>0</v>
      </c>
      <c r="U19" s="53">
        <v>2</v>
      </c>
      <c r="V19" s="53">
        <v>2</v>
      </c>
      <c r="W19" s="53">
        <v>0</v>
      </c>
      <c r="X19" s="53">
        <v>0</v>
      </c>
      <c r="Y19" s="53">
        <v>0</v>
      </c>
      <c r="Z19" s="53">
        <v>2</v>
      </c>
      <c r="AA19" s="54">
        <v>1</v>
      </c>
      <c r="AB19" s="50">
        <f t="shared" si="0"/>
        <v>16</v>
      </c>
    </row>
    <row r="20" spans="1:28" ht="36" customHeight="1" x14ac:dyDescent="0.3">
      <c r="A20" s="121"/>
      <c r="B20" s="114" t="str">
        <f>'DIAGNÓASTICO ORGANIZACIONAL '!D39</f>
        <v>Complexidade dos Processos</v>
      </c>
      <c r="C20" s="111"/>
      <c r="D20" s="111"/>
      <c r="E20" s="111"/>
      <c r="F20" s="111"/>
      <c r="G20" s="111"/>
      <c r="H20" s="111"/>
      <c r="I20" s="111"/>
      <c r="J20" s="111"/>
      <c r="K20" s="111"/>
      <c r="L20" s="52">
        <v>2</v>
      </c>
      <c r="M20" s="52">
        <v>0</v>
      </c>
      <c r="N20" s="52">
        <v>0</v>
      </c>
      <c r="O20" s="52">
        <v>0</v>
      </c>
      <c r="P20" s="52">
        <v>2</v>
      </c>
      <c r="Q20" s="52">
        <v>0</v>
      </c>
      <c r="R20" s="52">
        <v>2</v>
      </c>
      <c r="S20" s="52">
        <v>2</v>
      </c>
      <c r="T20" s="53">
        <v>0</v>
      </c>
      <c r="U20" s="53">
        <v>1</v>
      </c>
      <c r="V20" s="53">
        <v>2</v>
      </c>
      <c r="W20" s="53">
        <v>2</v>
      </c>
      <c r="X20" s="53">
        <v>2</v>
      </c>
      <c r="Y20" s="53">
        <v>1</v>
      </c>
      <c r="Z20" s="53">
        <v>2</v>
      </c>
      <c r="AA20" s="54">
        <v>1</v>
      </c>
      <c r="AB20" s="50">
        <f t="shared" si="0"/>
        <v>19</v>
      </c>
    </row>
    <row r="21" spans="1:28" ht="40.5" customHeight="1" x14ac:dyDescent="0.3">
      <c r="A21" s="122"/>
      <c r="B21" s="114" t="str">
        <f>'DIAGNÓASTICO ORGANIZACIONAL '!D40</f>
        <v xml:space="preserve">Facilidade de plagio </v>
      </c>
      <c r="C21" s="111"/>
      <c r="D21" s="111"/>
      <c r="E21" s="111"/>
      <c r="F21" s="111"/>
      <c r="G21" s="111"/>
      <c r="H21" s="111"/>
      <c r="I21" s="111"/>
      <c r="J21" s="111"/>
      <c r="K21" s="111"/>
      <c r="L21" s="52">
        <v>0</v>
      </c>
      <c r="M21" s="52">
        <v>0</v>
      </c>
      <c r="N21" s="52">
        <v>0</v>
      </c>
      <c r="O21" s="52">
        <v>0</v>
      </c>
      <c r="P21" s="52">
        <v>2</v>
      </c>
      <c r="Q21" s="52">
        <v>1</v>
      </c>
      <c r="R21" s="52">
        <v>2</v>
      </c>
      <c r="S21" s="52">
        <v>0</v>
      </c>
      <c r="T21" s="53">
        <v>0</v>
      </c>
      <c r="U21" s="53">
        <v>0</v>
      </c>
      <c r="V21" s="53">
        <v>0</v>
      </c>
      <c r="W21" s="53">
        <v>0</v>
      </c>
      <c r="X21" s="53">
        <v>1</v>
      </c>
      <c r="Y21" s="53">
        <v>1</v>
      </c>
      <c r="Z21" s="53">
        <v>2</v>
      </c>
      <c r="AA21" s="54">
        <v>1</v>
      </c>
      <c r="AB21" s="51">
        <f t="shared" si="0"/>
        <v>10</v>
      </c>
    </row>
    <row r="22" spans="1:28" ht="33.75" customHeight="1" x14ac:dyDescent="0.35">
      <c r="A22" s="56"/>
      <c r="B22" s="115" t="s">
        <v>105</v>
      </c>
      <c r="C22" s="116"/>
      <c r="D22" s="116"/>
      <c r="E22" s="116"/>
      <c r="F22" s="116"/>
      <c r="G22" s="116"/>
      <c r="H22" s="116"/>
      <c r="I22" s="116"/>
      <c r="J22" s="116"/>
      <c r="K22" s="83"/>
      <c r="L22" s="57">
        <f t="shared" ref="L22:AB22" si="1">SUM(L12:L21)</f>
        <v>10</v>
      </c>
      <c r="M22" s="58">
        <f t="shared" si="1"/>
        <v>11</v>
      </c>
      <c r="N22" s="58">
        <f t="shared" si="1"/>
        <v>7</v>
      </c>
      <c r="O22" s="58">
        <f t="shared" si="1"/>
        <v>11</v>
      </c>
      <c r="P22" s="59">
        <f t="shared" si="1"/>
        <v>15</v>
      </c>
      <c r="Q22" s="59">
        <f t="shared" si="1"/>
        <v>10</v>
      </c>
      <c r="R22" s="59">
        <f t="shared" si="1"/>
        <v>18</v>
      </c>
      <c r="S22" s="59">
        <f t="shared" si="1"/>
        <v>9</v>
      </c>
      <c r="T22" s="58">
        <f t="shared" si="1"/>
        <v>3</v>
      </c>
      <c r="U22" s="58">
        <f t="shared" si="1"/>
        <v>6</v>
      </c>
      <c r="V22" s="58">
        <f t="shared" si="1"/>
        <v>10</v>
      </c>
      <c r="W22" s="59">
        <f t="shared" si="1"/>
        <v>14</v>
      </c>
      <c r="X22" s="59">
        <f t="shared" si="1"/>
        <v>11</v>
      </c>
      <c r="Y22" s="59">
        <f t="shared" si="1"/>
        <v>11</v>
      </c>
      <c r="Z22" s="59">
        <f t="shared" si="1"/>
        <v>15</v>
      </c>
      <c r="AA22" s="59">
        <f t="shared" si="1"/>
        <v>14</v>
      </c>
      <c r="AB22" s="60">
        <f t="shared" si="1"/>
        <v>175</v>
      </c>
    </row>
    <row r="23" spans="1:28" ht="33.75" customHeight="1" x14ac:dyDescent="0.35">
      <c r="A23" s="7"/>
      <c r="B23" s="113" t="s">
        <v>107</v>
      </c>
      <c r="C23" s="97"/>
      <c r="D23" s="97"/>
      <c r="E23" s="97"/>
      <c r="F23" s="97"/>
      <c r="G23" s="97"/>
      <c r="H23" s="97"/>
      <c r="I23" s="97"/>
      <c r="J23" s="97"/>
      <c r="K23" s="97"/>
      <c r="L23" s="61"/>
      <c r="M23" s="61"/>
      <c r="N23" s="61"/>
      <c r="O23" s="61"/>
      <c r="P23" s="62">
        <f>T24-T25</f>
        <v>11</v>
      </c>
    </row>
    <row r="24" spans="1:28" ht="33.75" customHeight="1" x14ac:dyDescent="0.35">
      <c r="A24" s="7"/>
      <c r="B24" s="113" t="s">
        <v>108</v>
      </c>
      <c r="C24" s="97"/>
      <c r="D24" s="97"/>
      <c r="E24" s="97"/>
      <c r="F24" s="97"/>
      <c r="G24" s="97"/>
      <c r="H24" s="97"/>
      <c r="I24" s="97"/>
      <c r="J24" s="97"/>
      <c r="K24" s="97"/>
      <c r="L24" s="61"/>
      <c r="M24" s="61"/>
      <c r="N24" s="61"/>
      <c r="O24" s="61"/>
      <c r="P24" s="62">
        <f>U24-U25</f>
        <v>10</v>
      </c>
      <c r="T24" s="63">
        <f>SUM(L12:S16)</f>
        <v>51</v>
      </c>
      <c r="U24" s="64">
        <f>SUM(T12:AA16)</f>
        <v>47</v>
      </c>
      <c r="V24" s="65"/>
      <c r="W24" s="65"/>
      <c r="X24" s="66">
        <f>T24/AB22</f>
        <v>0.29142857142857143</v>
      </c>
      <c r="Y24" s="67">
        <f>U24/AB22</f>
        <v>0.26857142857142857</v>
      </c>
    </row>
    <row r="25" spans="1:28" ht="33.75" customHeight="1" x14ac:dyDescent="0.35">
      <c r="A25" s="7"/>
      <c r="B25" s="113" t="s">
        <v>109</v>
      </c>
      <c r="C25" s="97"/>
      <c r="D25" s="97"/>
      <c r="E25" s="97"/>
      <c r="F25" s="97"/>
      <c r="G25" s="97"/>
      <c r="H25" s="97"/>
      <c r="I25" s="97"/>
      <c r="J25" s="97"/>
      <c r="K25" s="97"/>
      <c r="L25" s="61"/>
      <c r="M25" s="61"/>
      <c r="N25" s="61"/>
      <c r="O25" s="61"/>
      <c r="P25" s="62">
        <f>SUM(P23:P24)</f>
        <v>21</v>
      </c>
      <c r="T25" s="64">
        <f>SUM(L17:S21)</f>
        <v>40</v>
      </c>
      <c r="U25" s="68">
        <f>SUM(T17:AA21)</f>
        <v>37</v>
      </c>
      <c r="V25" s="65"/>
      <c r="W25" s="65"/>
      <c r="X25" s="67">
        <f>T25/AB22</f>
        <v>0.22857142857142856</v>
      </c>
      <c r="Y25" s="66">
        <f>U25/AB22</f>
        <v>0.21142857142857144</v>
      </c>
    </row>
    <row r="26" spans="1:28" ht="18.75" customHeight="1" x14ac:dyDescent="0.35">
      <c r="A26" s="7"/>
    </row>
    <row r="27" spans="1:28" ht="18.75" customHeight="1" x14ac:dyDescent="0.35">
      <c r="A27" s="7"/>
    </row>
    <row r="28" spans="1:28" ht="18.75" customHeight="1" x14ac:dyDescent="0.35">
      <c r="A28" s="7"/>
    </row>
    <row r="29" spans="1:28" ht="18.75" customHeight="1" x14ac:dyDescent="0.35">
      <c r="A29" s="7"/>
    </row>
    <row r="30" spans="1:28" ht="18.75" customHeight="1" x14ac:dyDescent="0.35">
      <c r="A30" s="7"/>
    </row>
    <row r="31" spans="1:28" ht="18.75" customHeight="1" x14ac:dyDescent="0.35">
      <c r="A31" s="7"/>
    </row>
    <row r="32" spans="1:28" ht="18.75" customHeight="1" x14ac:dyDescent="0.35">
      <c r="A32" s="7"/>
    </row>
    <row r="33" spans="1:1" ht="18.75" customHeight="1" x14ac:dyDescent="0.35">
      <c r="A33" s="7"/>
    </row>
    <row r="34" spans="1:1" ht="18.75" customHeight="1" x14ac:dyDescent="0.35">
      <c r="A34" s="7"/>
    </row>
    <row r="35" spans="1:1" ht="18.75" customHeight="1" x14ac:dyDescent="0.35">
      <c r="A35" s="7"/>
    </row>
    <row r="36" spans="1:1" ht="18.75" customHeight="1" x14ac:dyDescent="0.35">
      <c r="A36" s="7"/>
    </row>
    <row r="37" spans="1:1" ht="18.75" customHeight="1" x14ac:dyDescent="0.35">
      <c r="A37" s="7"/>
    </row>
    <row r="38" spans="1:1" ht="18.75" customHeight="1" x14ac:dyDescent="0.35">
      <c r="A38" s="7"/>
    </row>
    <row r="39" spans="1:1" ht="18.75" customHeight="1" x14ac:dyDescent="0.35">
      <c r="A39" s="7"/>
    </row>
    <row r="40" spans="1:1" ht="18.75" customHeight="1" x14ac:dyDescent="0.35">
      <c r="A40" s="7"/>
    </row>
    <row r="41" spans="1:1" ht="18.75" customHeight="1" x14ac:dyDescent="0.35">
      <c r="A41" s="7"/>
    </row>
    <row r="42" spans="1:1" ht="18.75" customHeight="1" x14ac:dyDescent="0.35">
      <c r="A42" s="7"/>
    </row>
    <row r="43" spans="1:1" ht="18.75" customHeight="1" x14ac:dyDescent="0.35">
      <c r="A43" s="7"/>
    </row>
    <row r="44" spans="1:1" ht="18.75" customHeight="1" x14ac:dyDescent="0.35">
      <c r="A44" s="7"/>
    </row>
    <row r="45" spans="1:1" ht="18.75" customHeight="1" x14ac:dyDescent="0.35">
      <c r="A45" s="7"/>
    </row>
    <row r="46" spans="1:1" ht="18.75" customHeight="1" x14ac:dyDescent="0.35">
      <c r="A46" s="7"/>
    </row>
    <row r="47" spans="1:1" ht="18.75" customHeight="1" x14ac:dyDescent="0.35">
      <c r="A47" s="7"/>
    </row>
    <row r="48" spans="1:1" ht="18.75" customHeight="1" x14ac:dyDescent="0.35">
      <c r="A48" s="7"/>
    </row>
    <row r="49" spans="1:1" ht="18.75" customHeight="1" x14ac:dyDescent="0.35">
      <c r="A49" s="7"/>
    </row>
    <row r="50" spans="1:1" ht="18.75" customHeight="1" x14ac:dyDescent="0.35">
      <c r="A50" s="7"/>
    </row>
    <row r="51" spans="1:1" ht="18.75" customHeight="1" x14ac:dyDescent="0.35">
      <c r="A51" s="7"/>
    </row>
    <row r="52" spans="1:1" ht="18.75" customHeight="1" x14ac:dyDescent="0.35">
      <c r="A52" s="7"/>
    </row>
    <row r="53" spans="1:1" ht="18.75" customHeight="1" x14ac:dyDescent="0.35">
      <c r="A53" s="7"/>
    </row>
    <row r="54" spans="1:1" ht="18.75" customHeight="1" x14ac:dyDescent="0.35">
      <c r="A54" s="7"/>
    </row>
    <row r="55" spans="1:1" ht="18.75" customHeight="1" x14ac:dyDescent="0.35">
      <c r="A55" s="7"/>
    </row>
    <row r="56" spans="1:1" ht="18.75" customHeight="1" x14ac:dyDescent="0.35">
      <c r="A56" s="7"/>
    </row>
    <row r="57" spans="1:1" ht="18.75" customHeight="1" x14ac:dyDescent="0.35">
      <c r="A57" s="7"/>
    </row>
    <row r="58" spans="1:1" ht="18.75" customHeight="1" x14ac:dyDescent="0.35">
      <c r="A58" s="7"/>
    </row>
    <row r="59" spans="1:1" ht="18.75" customHeight="1" x14ac:dyDescent="0.35">
      <c r="A59" s="7"/>
    </row>
    <row r="60" spans="1:1" ht="18.75" customHeight="1" x14ac:dyDescent="0.35">
      <c r="A60" s="7"/>
    </row>
    <row r="61" spans="1:1" ht="18.75" customHeight="1" x14ac:dyDescent="0.35">
      <c r="A61" s="7"/>
    </row>
    <row r="62" spans="1:1" ht="18.75" customHeight="1" x14ac:dyDescent="0.35">
      <c r="A62" s="7"/>
    </row>
    <row r="63" spans="1:1" ht="18.75" customHeight="1" x14ac:dyDescent="0.35">
      <c r="A63" s="7"/>
    </row>
    <row r="64" spans="1:1" ht="18.75" customHeight="1" x14ac:dyDescent="0.35">
      <c r="A64" s="7"/>
    </row>
    <row r="65" spans="1:1" ht="18.75" customHeight="1" x14ac:dyDescent="0.35">
      <c r="A65" s="7"/>
    </row>
    <row r="66" spans="1:1" ht="18.75" customHeight="1" x14ac:dyDescent="0.35">
      <c r="A66" s="7"/>
    </row>
    <row r="67" spans="1:1" ht="18.75" customHeight="1" x14ac:dyDescent="0.35">
      <c r="A67" s="7"/>
    </row>
    <row r="68" spans="1:1" ht="18.75" customHeight="1" x14ac:dyDescent="0.35">
      <c r="A68" s="7"/>
    </row>
    <row r="69" spans="1:1" ht="18.75" customHeight="1" x14ac:dyDescent="0.35">
      <c r="A69" s="7"/>
    </row>
    <row r="70" spans="1:1" ht="18.75" customHeight="1" x14ac:dyDescent="0.35">
      <c r="A70" s="7"/>
    </row>
    <row r="71" spans="1:1" ht="18.75" customHeight="1" x14ac:dyDescent="0.35">
      <c r="A71" s="7"/>
    </row>
    <row r="72" spans="1:1" ht="18.75" customHeight="1" x14ac:dyDescent="0.35">
      <c r="A72" s="7"/>
    </row>
    <row r="73" spans="1:1" ht="18.75" customHeight="1" x14ac:dyDescent="0.35">
      <c r="A73" s="7"/>
    </row>
    <row r="74" spans="1:1" ht="18.75" customHeight="1" x14ac:dyDescent="0.35">
      <c r="A74" s="7"/>
    </row>
    <row r="75" spans="1:1" ht="18.75" customHeight="1" x14ac:dyDescent="0.35">
      <c r="A75" s="7"/>
    </row>
    <row r="76" spans="1:1" ht="18.75" customHeight="1" x14ac:dyDescent="0.35">
      <c r="A76" s="7"/>
    </row>
    <row r="77" spans="1:1" ht="18.75" customHeight="1" x14ac:dyDescent="0.35">
      <c r="A77" s="7"/>
    </row>
    <row r="78" spans="1:1" ht="18.75" customHeight="1" x14ac:dyDescent="0.35">
      <c r="A78" s="7"/>
    </row>
    <row r="79" spans="1:1" ht="18.75" customHeight="1" x14ac:dyDescent="0.35">
      <c r="A79" s="7"/>
    </row>
    <row r="80" spans="1:1" ht="18.75" customHeight="1" x14ac:dyDescent="0.35">
      <c r="A80" s="7"/>
    </row>
    <row r="81" spans="1:1" ht="18.75" customHeight="1" x14ac:dyDescent="0.35">
      <c r="A81" s="7"/>
    </row>
    <row r="82" spans="1:1" ht="18.75" customHeight="1" x14ac:dyDescent="0.35">
      <c r="A82" s="7"/>
    </row>
    <row r="83" spans="1:1" ht="18.75" customHeight="1" x14ac:dyDescent="0.35">
      <c r="A83" s="7"/>
    </row>
    <row r="84" spans="1:1" ht="18.75" customHeight="1" x14ac:dyDescent="0.35">
      <c r="A84" s="7"/>
    </row>
    <row r="85" spans="1:1" ht="18.75" customHeight="1" x14ac:dyDescent="0.35">
      <c r="A85" s="7"/>
    </row>
    <row r="86" spans="1:1" ht="18.75" customHeight="1" x14ac:dyDescent="0.35">
      <c r="A86" s="7"/>
    </row>
    <row r="87" spans="1:1" ht="18.75" customHeight="1" x14ac:dyDescent="0.35">
      <c r="A87" s="7"/>
    </row>
    <row r="88" spans="1:1" ht="18.75" customHeight="1" x14ac:dyDescent="0.35">
      <c r="A88" s="7"/>
    </row>
    <row r="89" spans="1:1" ht="18.75" customHeight="1" x14ac:dyDescent="0.35">
      <c r="A89" s="7"/>
    </row>
    <row r="90" spans="1:1" ht="18.75" customHeight="1" x14ac:dyDescent="0.35">
      <c r="A90" s="7"/>
    </row>
    <row r="91" spans="1:1" ht="18.75" customHeight="1" x14ac:dyDescent="0.35">
      <c r="A91" s="7"/>
    </row>
    <row r="92" spans="1:1" ht="18.75" customHeight="1" x14ac:dyDescent="0.35">
      <c r="A92" s="7"/>
    </row>
    <row r="93" spans="1:1" ht="18.75" customHeight="1" x14ac:dyDescent="0.35">
      <c r="A93" s="7"/>
    </row>
    <row r="94" spans="1:1" ht="18.75" customHeight="1" x14ac:dyDescent="0.35">
      <c r="A94" s="7"/>
    </row>
    <row r="95" spans="1:1" ht="18.75" customHeight="1" x14ac:dyDescent="0.35">
      <c r="A95" s="7"/>
    </row>
    <row r="96" spans="1:1" ht="18.75" customHeight="1" x14ac:dyDescent="0.35">
      <c r="A96" s="7"/>
    </row>
    <row r="97" spans="1:1" ht="18.75" customHeight="1" x14ac:dyDescent="0.35">
      <c r="A97" s="7"/>
    </row>
    <row r="98" spans="1:1" ht="18.75" customHeight="1" x14ac:dyDescent="0.35">
      <c r="A98" s="7"/>
    </row>
    <row r="99" spans="1:1" ht="18.75" customHeight="1" x14ac:dyDescent="0.35">
      <c r="A99" s="7"/>
    </row>
    <row r="100" spans="1:1" ht="18.75" customHeight="1" x14ac:dyDescent="0.35">
      <c r="A100" s="7"/>
    </row>
    <row r="101" spans="1:1" ht="18.75" customHeight="1" x14ac:dyDescent="0.35">
      <c r="A101" s="7"/>
    </row>
    <row r="102" spans="1:1" ht="18.75" customHeight="1" x14ac:dyDescent="0.35">
      <c r="A102" s="7"/>
    </row>
    <row r="103" spans="1:1" ht="18.75" customHeight="1" x14ac:dyDescent="0.35">
      <c r="A103" s="7"/>
    </row>
    <row r="104" spans="1:1" ht="18.75" customHeight="1" x14ac:dyDescent="0.35">
      <c r="A104" s="7"/>
    </row>
    <row r="105" spans="1:1" ht="18.75" customHeight="1" x14ac:dyDescent="0.35">
      <c r="A105" s="7"/>
    </row>
    <row r="106" spans="1:1" ht="18.75" customHeight="1" x14ac:dyDescent="0.35">
      <c r="A106" s="7"/>
    </row>
    <row r="107" spans="1:1" ht="18.75" customHeight="1" x14ac:dyDescent="0.35">
      <c r="A107" s="7"/>
    </row>
    <row r="108" spans="1:1" ht="18.75" customHeight="1" x14ac:dyDescent="0.35">
      <c r="A108" s="7"/>
    </row>
    <row r="109" spans="1:1" ht="18.75" customHeight="1" x14ac:dyDescent="0.35">
      <c r="A109" s="7"/>
    </row>
    <row r="110" spans="1:1" ht="18.75" customHeight="1" x14ac:dyDescent="0.35">
      <c r="A110" s="7"/>
    </row>
    <row r="111" spans="1:1" ht="18.75" customHeight="1" x14ac:dyDescent="0.35">
      <c r="A111" s="7"/>
    </row>
    <row r="112" spans="1:1" ht="18.75" customHeight="1" x14ac:dyDescent="0.35">
      <c r="A112" s="7"/>
    </row>
    <row r="113" spans="1:1" ht="18.75" customHeight="1" x14ac:dyDescent="0.35">
      <c r="A113" s="7"/>
    </row>
    <row r="114" spans="1:1" ht="18.75" customHeight="1" x14ac:dyDescent="0.35">
      <c r="A114" s="7"/>
    </row>
    <row r="115" spans="1:1" ht="18.75" customHeight="1" x14ac:dyDescent="0.35">
      <c r="A115" s="7"/>
    </row>
    <row r="116" spans="1:1" ht="18.75" customHeight="1" x14ac:dyDescent="0.35">
      <c r="A116" s="7"/>
    </row>
    <row r="117" spans="1:1" ht="18.75" customHeight="1" x14ac:dyDescent="0.35">
      <c r="A117" s="7"/>
    </row>
    <row r="118" spans="1:1" ht="18.75" customHeight="1" x14ac:dyDescent="0.35">
      <c r="A118" s="7"/>
    </row>
    <row r="119" spans="1:1" ht="18.75" customHeight="1" x14ac:dyDescent="0.35">
      <c r="A119" s="7"/>
    </row>
    <row r="120" spans="1:1" ht="18.75" customHeight="1" x14ac:dyDescent="0.35">
      <c r="A120" s="7"/>
    </row>
    <row r="121" spans="1:1" ht="18.75" customHeight="1" x14ac:dyDescent="0.35">
      <c r="A121" s="7"/>
    </row>
    <row r="122" spans="1:1" ht="18.75" customHeight="1" x14ac:dyDescent="0.35">
      <c r="A122" s="7"/>
    </row>
    <row r="123" spans="1:1" ht="18.75" customHeight="1" x14ac:dyDescent="0.35">
      <c r="A123" s="7"/>
    </row>
    <row r="124" spans="1:1" ht="18.75" customHeight="1" x14ac:dyDescent="0.35">
      <c r="A124" s="7"/>
    </row>
    <row r="125" spans="1:1" ht="18.75" customHeight="1" x14ac:dyDescent="0.35">
      <c r="A125" s="7"/>
    </row>
    <row r="126" spans="1:1" ht="18.75" customHeight="1" x14ac:dyDescent="0.35">
      <c r="A126" s="7"/>
    </row>
    <row r="127" spans="1:1" ht="18.75" customHeight="1" x14ac:dyDescent="0.35">
      <c r="A127" s="7"/>
    </row>
    <row r="128" spans="1:1" ht="18.75" customHeight="1" x14ac:dyDescent="0.35">
      <c r="A128" s="7"/>
    </row>
    <row r="129" spans="1:1" ht="18.75" customHeight="1" x14ac:dyDescent="0.35">
      <c r="A129" s="7"/>
    </row>
    <row r="130" spans="1:1" ht="18.75" customHeight="1" x14ac:dyDescent="0.35">
      <c r="A130" s="7"/>
    </row>
    <row r="131" spans="1:1" ht="18.75" customHeight="1" x14ac:dyDescent="0.35">
      <c r="A131" s="7"/>
    </row>
    <row r="132" spans="1:1" ht="18.75" customHeight="1" x14ac:dyDescent="0.35">
      <c r="A132" s="7"/>
    </row>
    <row r="133" spans="1:1" ht="18.75" customHeight="1" x14ac:dyDescent="0.35">
      <c r="A133" s="7"/>
    </row>
    <row r="134" spans="1:1" ht="18.75" customHeight="1" x14ac:dyDescent="0.35">
      <c r="A134" s="7"/>
    </row>
    <row r="135" spans="1:1" ht="18.75" customHeight="1" x14ac:dyDescent="0.35">
      <c r="A135" s="7"/>
    </row>
    <row r="136" spans="1:1" ht="18.75" customHeight="1" x14ac:dyDescent="0.35">
      <c r="A136" s="7"/>
    </row>
    <row r="137" spans="1:1" ht="18.75" customHeight="1" x14ac:dyDescent="0.35">
      <c r="A137" s="7"/>
    </row>
    <row r="138" spans="1:1" ht="18.75" customHeight="1" x14ac:dyDescent="0.35">
      <c r="A138" s="7"/>
    </row>
    <row r="139" spans="1:1" ht="18.75" customHeight="1" x14ac:dyDescent="0.35">
      <c r="A139" s="7"/>
    </row>
    <row r="140" spans="1:1" ht="18.75" customHeight="1" x14ac:dyDescent="0.35">
      <c r="A140" s="7"/>
    </row>
    <row r="141" spans="1:1" ht="18.75" customHeight="1" x14ac:dyDescent="0.35">
      <c r="A141" s="7"/>
    </row>
    <row r="142" spans="1:1" ht="18.75" customHeight="1" x14ac:dyDescent="0.35">
      <c r="A142" s="7"/>
    </row>
    <row r="143" spans="1:1" ht="18.75" customHeight="1" x14ac:dyDescent="0.35">
      <c r="A143" s="7"/>
    </row>
    <row r="144" spans="1:1" ht="18.75" customHeight="1" x14ac:dyDescent="0.35">
      <c r="A144" s="7"/>
    </row>
    <row r="145" spans="1:1" ht="18.75" customHeight="1" x14ac:dyDescent="0.35">
      <c r="A145" s="7"/>
    </row>
    <row r="146" spans="1:1" ht="18.75" customHeight="1" x14ac:dyDescent="0.35">
      <c r="A146" s="7"/>
    </row>
    <row r="147" spans="1:1" ht="18.75" customHeight="1" x14ac:dyDescent="0.35">
      <c r="A147" s="7"/>
    </row>
    <row r="148" spans="1:1" ht="18.75" customHeight="1" x14ac:dyDescent="0.35">
      <c r="A148" s="7"/>
    </row>
    <row r="149" spans="1:1" ht="18.75" customHeight="1" x14ac:dyDescent="0.35">
      <c r="A149" s="7"/>
    </row>
    <row r="150" spans="1:1" ht="18.75" customHeight="1" x14ac:dyDescent="0.35">
      <c r="A150" s="7"/>
    </row>
    <row r="151" spans="1:1" ht="18.75" customHeight="1" x14ac:dyDescent="0.35">
      <c r="A151" s="7"/>
    </row>
    <row r="152" spans="1:1" ht="18.75" customHeight="1" x14ac:dyDescent="0.35">
      <c r="A152" s="7"/>
    </row>
    <row r="153" spans="1:1" ht="18.75" customHeight="1" x14ac:dyDescent="0.35">
      <c r="A153" s="7"/>
    </row>
    <row r="154" spans="1:1" ht="18.75" customHeight="1" x14ac:dyDescent="0.35">
      <c r="A154" s="7"/>
    </row>
    <row r="155" spans="1:1" ht="18.75" customHeight="1" x14ac:dyDescent="0.35">
      <c r="A155" s="7"/>
    </row>
    <row r="156" spans="1:1" ht="18.75" customHeight="1" x14ac:dyDescent="0.35">
      <c r="A156" s="7"/>
    </row>
    <row r="157" spans="1:1" ht="18.75" customHeight="1" x14ac:dyDescent="0.35">
      <c r="A157" s="7"/>
    </row>
    <row r="158" spans="1:1" ht="18.75" customHeight="1" x14ac:dyDescent="0.35">
      <c r="A158" s="7"/>
    </row>
    <row r="159" spans="1:1" ht="18.75" customHeight="1" x14ac:dyDescent="0.35">
      <c r="A159" s="7"/>
    </row>
    <row r="160" spans="1:1" ht="18.75" customHeight="1" x14ac:dyDescent="0.35">
      <c r="A160" s="7"/>
    </row>
    <row r="161" spans="1:1" ht="18.75" customHeight="1" x14ac:dyDescent="0.35">
      <c r="A161" s="7"/>
    </row>
    <row r="162" spans="1:1" ht="18.75" customHeight="1" x14ac:dyDescent="0.35">
      <c r="A162" s="7"/>
    </row>
    <row r="163" spans="1:1" ht="18.75" customHeight="1" x14ac:dyDescent="0.35">
      <c r="A163" s="7"/>
    </row>
    <row r="164" spans="1:1" ht="18.75" customHeight="1" x14ac:dyDescent="0.35">
      <c r="A164" s="7"/>
    </row>
    <row r="165" spans="1:1" ht="18.75" customHeight="1" x14ac:dyDescent="0.35">
      <c r="A165" s="7"/>
    </row>
    <row r="166" spans="1:1" ht="18.75" customHeight="1" x14ac:dyDescent="0.35">
      <c r="A166" s="7"/>
    </row>
    <row r="167" spans="1:1" ht="18.75" customHeight="1" x14ac:dyDescent="0.35">
      <c r="A167" s="7"/>
    </row>
    <row r="168" spans="1:1" ht="18.75" customHeight="1" x14ac:dyDescent="0.35">
      <c r="A168" s="7"/>
    </row>
    <row r="169" spans="1:1" ht="18.75" customHeight="1" x14ac:dyDescent="0.35">
      <c r="A169" s="7"/>
    </row>
    <row r="170" spans="1:1" ht="18.75" customHeight="1" x14ac:dyDescent="0.35">
      <c r="A170" s="7"/>
    </row>
    <row r="171" spans="1:1" ht="18.75" customHeight="1" x14ac:dyDescent="0.35">
      <c r="A171" s="7"/>
    </row>
    <row r="172" spans="1:1" ht="18.75" customHeight="1" x14ac:dyDescent="0.35">
      <c r="A172" s="7"/>
    </row>
    <row r="173" spans="1:1" ht="18.75" customHeight="1" x14ac:dyDescent="0.35">
      <c r="A173" s="7"/>
    </row>
    <row r="174" spans="1:1" ht="18.75" customHeight="1" x14ac:dyDescent="0.35">
      <c r="A174" s="7"/>
    </row>
    <row r="175" spans="1:1" ht="18.75" customHeight="1" x14ac:dyDescent="0.35">
      <c r="A175" s="7"/>
    </row>
    <row r="176" spans="1:1" ht="18.75" customHeight="1" x14ac:dyDescent="0.35">
      <c r="A176" s="7"/>
    </row>
    <row r="177" spans="1:1" ht="18.75" customHeight="1" x14ac:dyDescent="0.35">
      <c r="A177" s="7"/>
    </row>
    <row r="178" spans="1:1" ht="18.75" customHeight="1" x14ac:dyDescent="0.35">
      <c r="A178" s="7"/>
    </row>
    <row r="179" spans="1:1" ht="18.75" customHeight="1" x14ac:dyDescent="0.35">
      <c r="A179" s="7"/>
    </row>
    <row r="180" spans="1:1" ht="18.75" customHeight="1" x14ac:dyDescent="0.35">
      <c r="A180" s="7"/>
    </row>
    <row r="181" spans="1:1" ht="18.75" customHeight="1" x14ac:dyDescent="0.35">
      <c r="A181" s="7"/>
    </row>
    <row r="182" spans="1:1" ht="18.75" customHeight="1" x14ac:dyDescent="0.35">
      <c r="A182" s="7"/>
    </row>
    <row r="183" spans="1:1" ht="18.75" customHeight="1" x14ac:dyDescent="0.35">
      <c r="A183" s="7"/>
    </row>
    <row r="184" spans="1:1" ht="18.75" customHeight="1" x14ac:dyDescent="0.35">
      <c r="A184" s="7"/>
    </row>
    <row r="185" spans="1:1" ht="18.75" customHeight="1" x14ac:dyDescent="0.35">
      <c r="A185" s="7"/>
    </row>
    <row r="186" spans="1:1" ht="18.75" customHeight="1" x14ac:dyDescent="0.35">
      <c r="A186" s="7"/>
    </row>
    <row r="187" spans="1:1" ht="18.75" customHeight="1" x14ac:dyDescent="0.35">
      <c r="A187" s="7"/>
    </row>
    <row r="188" spans="1:1" ht="18.75" customHeight="1" x14ac:dyDescent="0.35">
      <c r="A188" s="7"/>
    </row>
    <row r="189" spans="1:1" ht="18.75" customHeight="1" x14ac:dyDescent="0.35">
      <c r="A189" s="7"/>
    </row>
    <row r="190" spans="1:1" ht="18.75" customHeight="1" x14ac:dyDescent="0.35">
      <c r="A190" s="7"/>
    </row>
    <row r="191" spans="1:1" ht="18.75" customHeight="1" x14ac:dyDescent="0.35">
      <c r="A191" s="7"/>
    </row>
    <row r="192" spans="1:1" ht="18.75" customHeight="1" x14ac:dyDescent="0.35">
      <c r="A192" s="7"/>
    </row>
    <row r="193" spans="1:1" ht="18.75" customHeight="1" x14ac:dyDescent="0.35">
      <c r="A193" s="7"/>
    </row>
    <row r="194" spans="1:1" ht="18.75" customHeight="1" x14ac:dyDescent="0.35">
      <c r="A194" s="7"/>
    </row>
    <row r="195" spans="1:1" ht="18.75" customHeight="1" x14ac:dyDescent="0.35">
      <c r="A195" s="7"/>
    </row>
    <row r="196" spans="1:1" ht="18.75" customHeight="1" x14ac:dyDescent="0.35">
      <c r="A196" s="7"/>
    </row>
    <row r="197" spans="1:1" ht="18.75" customHeight="1" x14ac:dyDescent="0.35">
      <c r="A197" s="7"/>
    </row>
    <row r="198" spans="1:1" ht="18.75" customHeight="1" x14ac:dyDescent="0.35">
      <c r="A198" s="7"/>
    </row>
    <row r="199" spans="1:1" ht="18.75" customHeight="1" x14ac:dyDescent="0.35">
      <c r="A199" s="7"/>
    </row>
    <row r="200" spans="1:1" ht="18.75" customHeight="1" x14ac:dyDescent="0.35">
      <c r="A200" s="7"/>
    </row>
    <row r="201" spans="1:1" ht="18.75" customHeight="1" x14ac:dyDescent="0.35">
      <c r="A201" s="7"/>
    </row>
    <row r="202" spans="1:1" ht="18.75" customHeight="1" x14ac:dyDescent="0.35">
      <c r="A202" s="7"/>
    </row>
    <row r="203" spans="1:1" ht="18.75" customHeight="1" x14ac:dyDescent="0.35">
      <c r="A203" s="7"/>
    </row>
    <row r="204" spans="1:1" ht="18.75" customHeight="1" x14ac:dyDescent="0.35">
      <c r="A204" s="7"/>
    </row>
    <row r="205" spans="1:1" ht="18.75" customHeight="1" x14ac:dyDescent="0.35">
      <c r="A205" s="7"/>
    </row>
    <row r="206" spans="1:1" ht="18.75" customHeight="1" x14ac:dyDescent="0.35">
      <c r="A206" s="7"/>
    </row>
    <row r="207" spans="1:1" ht="18.75" customHeight="1" x14ac:dyDescent="0.35">
      <c r="A207" s="7"/>
    </row>
    <row r="208" spans="1:1" ht="18.75" customHeight="1" x14ac:dyDescent="0.35">
      <c r="A208" s="7"/>
    </row>
    <row r="209" spans="1:1" ht="18.75" customHeight="1" x14ac:dyDescent="0.35">
      <c r="A209" s="7"/>
    </row>
    <row r="210" spans="1:1" ht="18.75" customHeight="1" x14ac:dyDescent="0.35">
      <c r="A210" s="7"/>
    </row>
    <row r="211" spans="1:1" ht="18.75" customHeight="1" x14ac:dyDescent="0.35">
      <c r="A211" s="7"/>
    </row>
    <row r="212" spans="1:1" ht="18.75" customHeight="1" x14ac:dyDescent="0.35">
      <c r="A212" s="7"/>
    </row>
    <row r="213" spans="1:1" ht="18.75" customHeight="1" x14ac:dyDescent="0.35">
      <c r="A213" s="7"/>
    </row>
    <row r="214" spans="1:1" ht="18.75" customHeight="1" x14ac:dyDescent="0.35">
      <c r="A214" s="7"/>
    </row>
    <row r="215" spans="1:1" ht="18.75" customHeight="1" x14ac:dyDescent="0.35">
      <c r="A215" s="7"/>
    </row>
    <row r="216" spans="1:1" ht="18.75" customHeight="1" x14ac:dyDescent="0.35">
      <c r="A216" s="7"/>
    </row>
    <row r="217" spans="1:1" ht="18.75" customHeight="1" x14ac:dyDescent="0.35">
      <c r="A217" s="7"/>
    </row>
    <row r="218" spans="1:1" ht="18.75" customHeight="1" x14ac:dyDescent="0.35">
      <c r="A218" s="7"/>
    </row>
    <row r="219" spans="1:1" ht="18.75" customHeight="1" x14ac:dyDescent="0.35">
      <c r="A219" s="7"/>
    </row>
    <row r="220" spans="1:1" ht="18.75" customHeight="1" x14ac:dyDescent="0.35">
      <c r="A220" s="7"/>
    </row>
    <row r="221" spans="1:1" ht="18.75" customHeight="1" x14ac:dyDescent="0.35">
      <c r="A221" s="7"/>
    </row>
    <row r="222" spans="1:1" ht="18.75" customHeight="1" x14ac:dyDescent="0.35">
      <c r="A222" s="7"/>
    </row>
    <row r="223" spans="1:1" ht="18.75" customHeight="1" x14ac:dyDescent="0.35">
      <c r="A223" s="7"/>
    </row>
    <row r="224" spans="1:1" ht="18.75" customHeight="1" x14ac:dyDescent="0.35">
      <c r="A224" s="7"/>
    </row>
    <row r="225" spans="1:1" ht="18.75" customHeight="1" x14ac:dyDescent="0.35">
      <c r="A225" s="7"/>
    </row>
    <row r="226" spans="1:1" ht="15.75" customHeight="1" x14ac:dyDescent="0.3"/>
    <row r="227" spans="1:1" ht="15.75" customHeight="1" x14ac:dyDescent="0.3"/>
    <row r="228" spans="1:1" ht="15.75" customHeight="1" x14ac:dyDescent="0.3"/>
    <row r="229" spans="1:1" ht="15.75" customHeight="1" x14ac:dyDescent="0.3"/>
    <row r="230" spans="1:1" ht="15.75" customHeight="1" x14ac:dyDescent="0.3"/>
    <row r="231" spans="1:1" ht="15.75" customHeight="1" x14ac:dyDescent="0.3"/>
    <row r="232" spans="1:1" ht="15.75" customHeight="1" x14ac:dyDescent="0.3"/>
    <row r="233" spans="1:1" ht="15.75" customHeight="1" x14ac:dyDescent="0.3"/>
    <row r="234" spans="1:1" ht="15.75" customHeight="1" x14ac:dyDescent="0.3"/>
    <row r="235" spans="1:1" ht="15.75" customHeight="1" x14ac:dyDescent="0.3"/>
    <row r="236" spans="1:1" ht="15.75" customHeight="1" x14ac:dyDescent="0.3"/>
    <row r="237" spans="1:1" ht="15.75" customHeight="1" x14ac:dyDescent="0.3"/>
    <row r="238" spans="1:1" ht="15.75" customHeight="1" x14ac:dyDescent="0.3"/>
    <row r="239" spans="1:1" ht="15.75" customHeight="1" x14ac:dyDescent="0.3"/>
    <row r="240" spans="1: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mergeCells count="39">
    <mergeCell ref="A12:A16"/>
    <mergeCell ref="A17:A21"/>
    <mergeCell ref="N2:N11"/>
    <mergeCell ref="O2:O11"/>
    <mergeCell ref="B12:K12"/>
    <mergeCell ref="B13:K13"/>
    <mergeCell ref="B14:K14"/>
    <mergeCell ref="B15:K15"/>
    <mergeCell ref="B16:K16"/>
    <mergeCell ref="W2:W11"/>
    <mergeCell ref="Z2:Z11"/>
    <mergeCell ref="AA2:AA11"/>
    <mergeCell ref="AB2:AB11"/>
    <mergeCell ref="A2:A11"/>
    <mergeCell ref="B24:K24"/>
    <mergeCell ref="B25:K25"/>
    <mergeCell ref="B17:K17"/>
    <mergeCell ref="B18:K18"/>
    <mergeCell ref="B19:K19"/>
    <mergeCell ref="B20:K20"/>
    <mergeCell ref="B21:K21"/>
    <mergeCell ref="B22:K22"/>
    <mergeCell ref="B23:K23"/>
    <mergeCell ref="X2:X11"/>
    <mergeCell ref="Y2:Y11"/>
    <mergeCell ref="B1:K1"/>
    <mergeCell ref="L1:S1"/>
    <mergeCell ref="T1:AA1"/>
    <mergeCell ref="G2:K6"/>
    <mergeCell ref="L2:L11"/>
    <mergeCell ref="M2:M11"/>
    <mergeCell ref="B7:F11"/>
    <mergeCell ref="P2:P11"/>
    <mergeCell ref="Q2:Q11"/>
    <mergeCell ref="R2:R11"/>
    <mergeCell ref="S2:S11"/>
    <mergeCell ref="T2:T11"/>
    <mergeCell ref="U2:U11"/>
    <mergeCell ref="V2:V11"/>
  </mergeCells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sqref="A1:L4"/>
    </sheetView>
  </sheetViews>
  <sheetFormatPr defaultColWidth="11.19921875" defaultRowHeight="15" customHeight="1" x14ac:dyDescent="0.3"/>
  <cols>
    <col min="1" max="1" width="22.09765625" customWidth="1"/>
    <col min="2" max="2" width="57.09765625" customWidth="1"/>
    <col min="3" max="3" width="42.796875" customWidth="1"/>
    <col min="4" max="4" width="29.09765625" customWidth="1"/>
    <col min="5" max="7" width="22.09765625" customWidth="1"/>
    <col min="8" max="8" width="23.296875" customWidth="1"/>
    <col min="9" max="9" width="22.09765625" customWidth="1"/>
    <col min="10" max="10" width="23.3984375" customWidth="1"/>
    <col min="11" max="11" width="23" customWidth="1"/>
    <col min="12" max="12" width="50.796875" customWidth="1"/>
    <col min="13" max="24" width="22.09765625" customWidth="1"/>
    <col min="25" max="26" width="11.09765625" customWidth="1"/>
  </cols>
  <sheetData>
    <row r="1" spans="1:24" ht="13.5" customHeight="1" x14ac:dyDescent="0.3">
      <c r="A1" s="123" t="s">
        <v>110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5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13.5" customHeight="1" x14ac:dyDescent="0.3">
      <c r="A2" s="89"/>
      <c r="B2" s="97"/>
      <c r="C2" s="97"/>
      <c r="D2" s="97"/>
      <c r="E2" s="97"/>
      <c r="F2" s="97"/>
      <c r="G2" s="97"/>
      <c r="H2" s="97"/>
      <c r="I2" s="97"/>
      <c r="J2" s="97"/>
      <c r="K2" s="97"/>
      <c r="L2" s="126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24" ht="13.5" customHeight="1" x14ac:dyDescent="0.3">
      <c r="A3" s="89"/>
      <c r="B3" s="97"/>
      <c r="C3" s="97"/>
      <c r="D3" s="97"/>
      <c r="E3" s="97"/>
      <c r="F3" s="97"/>
      <c r="G3" s="97"/>
      <c r="H3" s="97"/>
      <c r="I3" s="97"/>
      <c r="J3" s="97"/>
      <c r="K3" s="97"/>
      <c r="L3" s="126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ht="13.5" customHeight="1" x14ac:dyDescent="0.3">
      <c r="A4" s="127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28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24" ht="15.75" customHeight="1" x14ac:dyDescent="0.3">
      <c r="A5" s="129" t="s">
        <v>111</v>
      </c>
      <c r="B5" s="69" t="s">
        <v>112</v>
      </c>
      <c r="C5" s="69" t="s">
        <v>113</v>
      </c>
      <c r="D5" s="70" t="s">
        <v>114</v>
      </c>
      <c r="E5" s="69" t="s">
        <v>115</v>
      </c>
      <c r="F5" s="69" t="s">
        <v>116</v>
      </c>
      <c r="G5" s="69" t="s">
        <v>117</v>
      </c>
      <c r="H5" s="69" t="s">
        <v>118</v>
      </c>
      <c r="I5" s="130" t="s">
        <v>119</v>
      </c>
      <c r="J5" s="116"/>
      <c r="K5" s="83"/>
      <c r="L5" s="71" t="s">
        <v>120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6" spans="1:24" ht="30.75" customHeight="1" x14ac:dyDescent="0.3">
      <c r="A6" s="95"/>
      <c r="B6" s="72" t="s">
        <v>121</v>
      </c>
      <c r="C6" s="72" t="s">
        <v>122</v>
      </c>
      <c r="D6" s="72" t="s">
        <v>123</v>
      </c>
      <c r="E6" s="72" t="s">
        <v>124</v>
      </c>
      <c r="F6" s="72" t="s">
        <v>125</v>
      </c>
      <c r="G6" s="72" t="s">
        <v>126</v>
      </c>
      <c r="H6" s="72" t="s">
        <v>127</v>
      </c>
      <c r="I6" s="131" t="s">
        <v>128</v>
      </c>
      <c r="J6" s="132"/>
      <c r="K6" s="133"/>
      <c r="L6" s="73" t="s">
        <v>129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</row>
    <row r="7" spans="1:24" ht="15.75" customHeight="1" x14ac:dyDescent="0.3">
      <c r="A7" s="134" t="s">
        <v>130</v>
      </c>
      <c r="B7" s="74" t="s">
        <v>131</v>
      </c>
      <c r="C7" s="74" t="s">
        <v>132</v>
      </c>
      <c r="D7" s="75" t="s">
        <v>133</v>
      </c>
      <c r="E7" s="74" t="s">
        <v>134</v>
      </c>
      <c r="F7" s="74" t="s">
        <v>135</v>
      </c>
      <c r="G7" s="74" t="s">
        <v>136</v>
      </c>
      <c r="H7" s="74" t="s">
        <v>137</v>
      </c>
      <c r="I7" s="74" t="s">
        <v>138</v>
      </c>
      <c r="J7" s="74" t="s">
        <v>139</v>
      </c>
      <c r="K7" s="74" t="s">
        <v>140</v>
      </c>
      <c r="L7" s="74" t="s">
        <v>141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</row>
    <row r="8" spans="1:24" ht="15.75" customHeight="1" x14ac:dyDescent="0.3">
      <c r="A8" s="85"/>
      <c r="B8" s="74" t="s">
        <v>142</v>
      </c>
      <c r="C8" s="76" t="s">
        <v>143</v>
      </c>
      <c r="D8" s="76" t="s">
        <v>144</v>
      </c>
      <c r="E8" s="74" t="s">
        <v>145</v>
      </c>
      <c r="F8" s="74" t="s">
        <v>135</v>
      </c>
      <c r="G8" s="74" t="s">
        <v>136</v>
      </c>
      <c r="H8" s="74" t="s">
        <v>137</v>
      </c>
      <c r="I8" s="74" t="s">
        <v>138</v>
      </c>
      <c r="J8" s="74" t="s">
        <v>139</v>
      </c>
      <c r="K8" s="74" t="s">
        <v>140</v>
      </c>
      <c r="L8" s="74" t="s">
        <v>141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</row>
    <row r="9" spans="1:24" ht="15.75" customHeight="1" x14ac:dyDescent="0.3">
      <c r="A9" s="86"/>
      <c r="B9" s="74" t="s">
        <v>146</v>
      </c>
      <c r="C9" s="76" t="s">
        <v>147</v>
      </c>
      <c r="D9" s="75" t="s">
        <v>133</v>
      </c>
      <c r="E9" s="74" t="s">
        <v>148</v>
      </c>
      <c r="F9" s="74" t="s">
        <v>149</v>
      </c>
      <c r="G9" s="76" t="s">
        <v>150</v>
      </c>
      <c r="H9" s="74" t="s">
        <v>151</v>
      </c>
      <c r="I9" s="74" t="s">
        <v>138</v>
      </c>
      <c r="J9" s="74" t="s">
        <v>139</v>
      </c>
      <c r="K9" s="74" t="s">
        <v>140</v>
      </c>
      <c r="L9" s="74" t="s">
        <v>141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</row>
    <row r="10" spans="1:24" ht="15.75" customHeight="1" x14ac:dyDescent="0.3">
      <c r="A10" s="135" t="s">
        <v>152</v>
      </c>
      <c r="B10" s="76" t="s">
        <v>153</v>
      </c>
      <c r="C10" s="76" t="s">
        <v>147</v>
      </c>
      <c r="D10" s="75" t="s">
        <v>133</v>
      </c>
      <c r="E10" s="76" t="s">
        <v>154</v>
      </c>
      <c r="F10" s="74" t="s">
        <v>149</v>
      </c>
      <c r="G10" s="74" t="s">
        <v>155</v>
      </c>
      <c r="H10" s="74" t="s">
        <v>137</v>
      </c>
      <c r="I10" s="74" t="s">
        <v>138</v>
      </c>
      <c r="J10" s="74" t="s">
        <v>139</v>
      </c>
      <c r="K10" s="74" t="s">
        <v>140</v>
      </c>
      <c r="L10" s="74" t="s">
        <v>141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 spans="1:24" ht="15.75" customHeight="1" x14ac:dyDescent="0.3">
      <c r="A11" s="85"/>
      <c r="B11" s="76" t="s">
        <v>156</v>
      </c>
      <c r="C11" s="76" t="s">
        <v>157</v>
      </c>
      <c r="D11" s="77" t="s">
        <v>158</v>
      </c>
      <c r="E11" s="76" t="s">
        <v>159</v>
      </c>
      <c r="F11" s="74" t="s">
        <v>149</v>
      </c>
      <c r="G11" s="76" t="s">
        <v>160</v>
      </c>
      <c r="H11" s="76" t="s">
        <v>161</v>
      </c>
      <c r="I11" s="76" t="s">
        <v>162</v>
      </c>
      <c r="J11" s="74" t="s">
        <v>139</v>
      </c>
      <c r="K11" s="74" t="s">
        <v>140</v>
      </c>
      <c r="L11" s="74" t="s">
        <v>141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spans="1:24" ht="15.75" customHeight="1" x14ac:dyDescent="0.3">
      <c r="A12" s="86"/>
      <c r="B12" s="76" t="s">
        <v>163</v>
      </c>
      <c r="C12" s="76" t="s">
        <v>157</v>
      </c>
      <c r="D12" s="77" t="s">
        <v>164</v>
      </c>
      <c r="E12" s="76" t="s">
        <v>165</v>
      </c>
      <c r="F12" s="74" t="s">
        <v>149</v>
      </c>
      <c r="G12" s="76" t="s">
        <v>160</v>
      </c>
      <c r="H12" s="76" t="s">
        <v>161</v>
      </c>
      <c r="I12" s="76" t="s">
        <v>162</v>
      </c>
      <c r="J12" s="74" t="s">
        <v>139</v>
      </c>
      <c r="K12" s="74" t="s">
        <v>140</v>
      </c>
      <c r="L12" s="74" t="s">
        <v>141</v>
      </c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 spans="1:24" ht="15.75" customHeight="1" x14ac:dyDescent="0.3">
      <c r="A13" s="135" t="s">
        <v>166</v>
      </c>
      <c r="B13" s="76" t="s">
        <v>167</v>
      </c>
      <c r="C13" s="76" t="s">
        <v>168</v>
      </c>
      <c r="D13" s="75" t="s">
        <v>133</v>
      </c>
      <c r="E13" s="76" t="s">
        <v>134</v>
      </c>
      <c r="F13" s="74" t="s">
        <v>135</v>
      </c>
      <c r="G13" s="76" t="s">
        <v>169</v>
      </c>
      <c r="H13" s="74" t="s">
        <v>137</v>
      </c>
      <c r="I13" s="76" t="s">
        <v>162</v>
      </c>
      <c r="J13" s="74" t="s">
        <v>139</v>
      </c>
      <c r="K13" s="74" t="s">
        <v>140</v>
      </c>
      <c r="L13" s="74" t="s">
        <v>141</v>
      </c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 spans="1:24" ht="15.75" customHeight="1" x14ac:dyDescent="0.3">
      <c r="A14" s="85"/>
      <c r="B14" s="76" t="s">
        <v>170</v>
      </c>
      <c r="C14" s="76" t="s">
        <v>171</v>
      </c>
      <c r="D14" s="77" t="s">
        <v>164</v>
      </c>
      <c r="E14" s="76" t="s">
        <v>172</v>
      </c>
      <c r="F14" s="74" t="s">
        <v>149</v>
      </c>
      <c r="G14" s="76" t="s">
        <v>173</v>
      </c>
      <c r="H14" s="76" t="s">
        <v>161</v>
      </c>
      <c r="I14" s="76" t="s">
        <v>162</v>
      </c>
      <c r="J14" s="74" t="s">
        <v>139</v>
      </c>
      <c r="K14" s="74" t="s">
        <v>140</v>
      </c>
      <c r="L14" s="74" t="s">
        <v>141</v>
      </c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spans="1:24" ht="15.75" customHeight="1" x14ac:dyDescent="0.3">
      <c r="A15" s="86"/>
      <c r="B15" s="76" t="s">
        <v>174</v>
      </c>
      <c r="C15" s="76" t="s">
        <v>175</v>
      </c>
      <c r="D15" s="75" t="s">
        <v>133</v>
      </c>
      <c r="E15" s="76" t="s">
        <v>176</v>
      </c>
      <c r="F15" s="74" t="s">
        <v>135</v>
      </c>
      <c r="G15" s="74" t="s">
        <v>155</v>
      </c>
      <c r="H15" s="74" t="s">
        <v>137</v>
      </c>
      <c r="I15" s="76" t="s">
        <v>162</v>
      </c>
      <c r="J15" s="74" t="s">
        <v>139</v>
      </c>
      <c r="K15" s="74" t="s">
        <v>140</v>
      </c>
      <c r="L15" s="74" t="s">
        <v>141</v>
      </c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spans="1:24" ht="15.75" customHeight="1" x14ac:dyDescent="0.3">
      <c r="A16" s="135" t="s">
        <v>177</v>
      </c>
      <c r="B16" s="76" t="s">
        <v>178</v>
      </c>
      <c r="C16" s="78" t="s">
        <v>147</v>
      </c>
      <c r="D16" s="75" t="s">
        <v>133</v>
      </c>
      <c r="E16" s="76" t="s">
        <v>179</v>
      </c>
      <c r="F16" s="78" t="s">
        <v>135</v>
      </c>
      <c r="G16" s="78" t="s">
        <v>180</v>
      </c>
      <c r="H16" s="76" t="s">
        <v>161</v>
      </c>
      <c r="I16" s="76" t="s">
        <v>162</v>
      </c>
      <c r="J16" s="78" t="s">
        <v>139</v>
      </c>
      <c r="K16" s="78" t="s">
        <v>140</v>
      </c>
      <c r="L16" s="78" t="s">
        <v>141</v>
      </c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</row>
    <row r="17" spans="1:24" ht="24.75" customHeight="1" x14ac:dyDescent="0.3">
      <c r="A17" s="85"/>
      <c r="B17" s="76" t="s">
        <v>181</v>
      </c>
      <c r="C17" s="78" t="s">
        <v>147</v>
      </c>
      <c r="D17" s="75" t="s">
        <v>182</v>
      </c>
      <c r="E17" s="76" t="s">
        <v>183</v>
      </c>
      <c r="F17" s="78" t="s">
        <v>135</v>
      </c>
      <c r="G17" s="78" t="s">
        <v>180</v>
      </c>
      <c r="H17" s="76" t="s">
        <v>161</v>
      </c>
      <c r="I17" s="76" t="s">
        <v>162</v>
      </c>
      <c r="J17" s="78" t="s">
        <v>139</v>
      </c>
      <c r="K17" s="78" t="s">
        <v>140</v>
      </c>
      <c r="L17" s="78" t="s">
        <v>141</v>
      </c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 spans="1:24" ht="15.75" customHeight="1" x14ac:dyDescent="0.3">
      <c r="A18" s="86"/>
      <c r="B18" s="76" t="s">
        <v>184</v>
      </c>
      <c r="C18" s="78" t="s">
        <v>147</v>
      </c>
      <c r="D18" s="75" t="s">
        <v>182</v>
      </c>
      <c r="E18" s="79" t="s">
        <v>179</v>
      </c>
      <c r="F18" s="78" t="s">
        <v>149</v>
      </c>
      <c r="G18" s="78" t="s">
        <v>180</v>
      </c>
      <c r="H18" s="76" t="s">
        <v>161</v>
      </c>
      <c r="I18" s="76" t="s">
        <v>162</v>
      </c>
      <c r="J18" s="78" t="s">
        <v>139</v>
      </c>
      <c r="K18" s="78" t="s">
        <v>140</v>
      </c>
      <c r="L18" s="78" t="s">
        <v>141</v>
      </c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 spans="1:24" ht="15.75" customHeight="1" x14ac:dyDescent="0.3">
      <c r="A19" s="135" t="s">
        <v>185</v>
      </c>
      <c r="B19" s="76" t="s">
        <v>186</v>
      </c>
      <c r="C19" s="76" t="s">
        <v>143</v>
      </c>
      <c r="D19" s="75" t="s">
        <v>182</v>
      </c>
      <c r="E19" s="76" t="s">
        <v>179</v>
      </c>
      <c r="F19" s="76" t="s">
        <v>187</v>
      </c>
      <c r="G19" s="76" t="s">
        <v>180</v>
      </c>
      <c r="H19" s="76" t="s">
        <v>161</v>
      </c>
      <c r="I19" s="76" t="s">
        <v>162</v>
      </c>
      <c r="J19" s="78" t="s">
        <v>139</v>
      </c>
      <c r="K19" s="76" t="s">
        <v>140</v>
      </c>
      <c r="L19" s="76" t="s">
        <v>141</v>
      </c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 spans="1:24" ht="30.75" customHeight="1" x14ac:dyDescent="0.3">
      <c r="A20" s="85"/>
      <c r="B20" s="76" t="s">
        <v>188</v>
      </c>
      <c r="C20" s="76" t="s">
        <v>147</v>
      </c>
      <c r="D20" s="75" t="s">
        <v>133</v>
      </c>
      <c r="E20" s="76" t="s">
        <v>189</v>
      </c>
      <c r="F20" s="76" t="s">
        <v>187</v>
      </c>
      <c r="G20" s="76" t="s">
        <v>180</v>
      </c>
      <c r="H20" s="76" t="s">
        <v>161</v>
      </c>
      <c r="I20" s="78" t="s">
        <v>162</v>
      </c>
      <c r="J20" s="76" t="s">
        <v>139</v>
      </c>
      <c r="K20" s="76" t="s">
        <v>140</v>
      </c>
      <c r="L20" s="76" t="s">
        <v>141</v>
      </c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 spans="1:24" ht="38.25" customHeight="1" x14ac:dyDescent="0.3">
      <c r="A21" s="86"/>
      <c r="B21" s="76" t="s">
        <v>190</v>
      </c>
      <c r="C21" s="76" t="s">
        <v>143</v>
      </c>
      <c r="D21" s="75" t="s">
        <v>182</v>
      </c>
      <c r="E21" s="76" t="s">
        <v>191</v>
      </c>
      <c r="F21" s="76" t="s">
        <v>192</v>
      </c>
      <c r="G21" s="78" t="s">
        <v>180</v>
      </c>
      <c r="H21" s="76" t="s">
        <v>161</v>
      </c>
      <c r="I21" s="76" t="s">
        <v>138</v>
      </c>
      <c r="J21" s="76" t="s">
        <v>139</v>
      </c>
      <c r="K21" s="76" t="s">
        <v>140</v>
      </c>
      <c r="L21" s="78" t="s">
        <v>141</v>
      </c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 spans="1:24" ht="15.75" customHeight="1" x14ac:dyDescent="0.3">
      <c r="A22" s="135" t="s">
        <v>193</v>
      </c>
      <c r="B22" s="76" t="s">
        <v>194</v>
      </c>
      <c r="C22" s="76" t="s">
        <v>143</v>
      </c>
      <c r="D22" s="75" t="s">
        <v>195</v>
      </c>
      <c r="E22" s="76" t="s">
        <v>179</v>
      </c>
      <c r="F22" s="76" t="s">
        <v>187</v>
      </c>
      <c r="G22" s="76" t="s">
        <v>180</v>
      </c>
      <c r="H22" s="78" t="s">
        <v>161</v>
      </c>
      <c r="I22" s="76" t="s">
        <v>162</v>
      </c>
      <c r="J22" s="76" t="s">
        <v>139</v>
      </c>
      <c r="K22" s="76" t="s">
        <v>140</v>
      </c>
      <c r="L22" s="78" t="s">
        <v>141</v>
      </c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3" spans="1:24" ht="24.75" customHeight="1" x14ac:dyDescent="0.3">
      <c r="A23" s="85"/>
      <c r="B23" s="76" t="s">
        <v>196</v>
      </c>
      <c r="C23" s="76" t="s">
        <v>147</v>
      </c>
      <c r="D23" s="75" t="s">
        <v>182</v>
      </c>
      <c r="E23" s="76" t="s">
        <v>179</v>
      </c>
      <c r="F23" s="79" t="s">
        <v>197</v>
      </c>
      <c r="G23" s="76" t="s">
        <v>180</v>
      </c>
      <c r="H23" s="76" t="s">
        <v>161</v>
      </c>
      <c r="I23" s="76" t="s">
        <v>162</v>
      </c>
      <c r="J23" s="76" t="s">
        <v>139</v>
      </c>
      <c r="K23" s="76" t="s">
        <v>140</v>
      </c>
      <c r="L23" s="76" t="s">
        <v>141</v>
      </c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</row>
    <row r="24" spans="1:24" ht="24" customHeight="1" x14ac:dyDescent="0.3">
      <c r="A24" s="86"/>
      <c r="B24" s="79" t="s">
        <v>198</v>
      </c>
      <c r="C24" s="76" t="s">
        <v>157</v>
      </c>
      <c r="D24" s="77" t="s">
        <v>199</v>
      </c>
      <c r="E24" s="76" t="s">
        <v>183</v>
      </c>
      <c r="F24" s="76" t="s">
        <v>200</v>
      </c>
      <c r="G24" s="76" t="s">
        <v>155</v>
      </c>
      <c r="H24" s="76" t="s">
        <v>201</v>
      </c>
      <c r="I24" s="76" t="s">
        <v>162</v>
      </c>
      <c r="J24" s="76" t="s">
        <v>139</v>
      </c>
      <c r="K24" s="76" t="s">
        <v>140</v>
      </c>
      <c r="L24" s="76" t="s">
        <v>141</v>
      </c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 spans="1:24" ht="15.75" customHeight="1" x14ac:dyDescent="0.3">
      <c r="A25" s="135" t="s">
        <v>202</v>
      </c>
      <c r="B25" s="76" t="s">
        <v>203</v>
      </c>
      <c r="C25" s="76" t="s">
        <v>143</v>
      </c>
      <c r="D25" s="75" t="s">
        <v>133</v>
      </c>
      <c r="E25" s="76" t="s">
        <v>204</v>
      </c>
      <c r="F25" s="76" t="s">
        <v>187</v>
      </c>
      <c r="G25" s="78" t="s">
        <v>180</v>
      </c>
      <c r="H25" s="78" t="s">
        <v>205</v>
      </c>
      <c r="I25" s="76" t="s">
        <v>162</v>
      </c>
      <c r="J25" s="76" t="s">
        <v>139</v>
      </c>
      <c r="K25" s="76" t="s">
        <v>140</v>
      </c>
      <c r="L25" s="78" t="s">
        <v>141</v>
      </c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 spans="1:24" ht="25.5" customHeight="1" x14ac:dyDescent="0.3">
      <c r="A26" s="85"/>
      <c r="B26" s="76" t="s">
        <v>206</v>
      </c>
      <c r="C26" s="76" t="s">
        <v>143</v>
      </c>
      <c r="D26" s="75" t="s">
        <v>133</v>
      </c>
      <c r="E26" s="76" t="s">
        <v>207</v>
      </c>
      <c r="F26" s="76" t="s">
        <v>187</v>
      </c>
      <c r="G26" s="76" t="s">
        <v>180</v>
      </c>
      <c r="H26" s="78" t="s">
        <v>205</v>
      </c>
      <c r="I26" s="76" t="s">
        <v>162</v>
      </c>
      <c r="J26" s="76" t="s">
        <v>139</v>
      </c>
      <c r="K26" s="76" t="s">
        <v>140</v>
      </c>
      <c r="L26" s="78" t="s">
        <v>141</v>
      </c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 spans="1:24" ht="30.75" customHeight="1" x14ac:dyDescent="0.3">
      <c r="A27" s="86"/>
      <c r="B27" s="76" t="s">
        <v>208</v>
      </c>
      <c r="C27" s="76" t="s">
        <v>143</v>
      </c>
      <c r="D27" s="75" t="s">
        <v>133</v>
      </c>
      <c r="E27" s="76" t="s">
        <v>209</v>
      </c>
      <c r="F27" s="76" t="s">
        <v>187</v>
      </c>
      <c r="G27" s="76" t="s">
        <v>180</v>
      </c>
      <c r="H27" s="76" t="s">
        <v>201</v>
      </c>
      <c r="I27" s="76" t="s">
        <v>162</v>
      </c>
      <c r="J27" s="78" t="s">
        <v>139</v>
      </c>
      <c r="K27" s="78" t="s">
        <v>140</v>
      </c>
      <c r="L27" s="78" t="s">
        <v>141</v>
      </c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 spans="1:24" ht="15.75" customHeight="1" x14ac:dyDescent="0.3">
      <c r="A28" s="136" t="s">
        <v>210</v>
      </c>
      <c r="B28" s="76" t="s">
        <v>211</v>
      </c>
      <c r="C28" s="76" t="s">
        <v>212</v>
      </c>
      <c r="D28" s="75" t="s">
        <v>133</v>
      </c>
      <c r="E28" s="76" t="s">
        <v>213</v>
      </c>
      <c r="F28" s="76" t="s">
        <v>187</v>
      </c>
      <c r="G28" s="76" t="s">
        <v>180</v>
      </c>
      <c r="H28" s="76" t="s">
        <v>201</v>
      </c>
      <c r="I28" s="76" t="s">
        <v>162</v>
      </c>
      <c r="J28" s="76" t="s">
        <v>139</v>
      </c>
      <c r="K28" s="76" t="s">
        <v>140</v>
      </c>
      <c r="L28" s="76" t="s">
        <v>141</v>
      </c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 spans="1:24" ht="15.75" customHeight="1" x14ac:dyDescent="0.3">
      <c r="A29" s="85"/>
      <c r="B29" s="76" t="s">
        <v>214</v>
      </c>
      <c r="C29" s="76" t="s">
        <v>215</v>
      </c>
      <c r="D29" s="75" t="s">
        <v>195</v>
      </c>
      <c r="E29" s="76" t="s">
        <v>216</v>
      </c>
      <c r="F29" s="76" t="s">
        <v>187</v>
      </c>
      <c r="G29" s="76" t="s">
        <v>180</v>
      </c>
      <c r="H29" s="76" t="s">
        <v>201</v>
      </c>
      <c r="I29" s="76" t="s">
        <v>162</v>
      </c>
      <c r="J29" s="76" t="s">
        <v>139</v>
      </c>
      <c r="K29" s="76" t="s">
        <v>140</v>
      </c>
      <c r="L29" s="78" t="s">
        <v>141</v>
      </c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 spans="1:24" ht="15.75" customHeight="1" x14ac:dyDescent="0.3">
      <c r="A30" s="86"/>
      <c r="B30" s="76" t="s">
        <v>217</v>
      </c>
      <c r="C30" s="76" t="s">
        <v>212</v>
      </c>
      <c r="D30" s="75" t="s">
        <v>195</v>
      </c>
      <c r="E30" s="76" t="s">
        <v>207</v>
      </c>
      <c r="F30" s="76" t="s">
        <v>187</v>
      </c>
      <c r="G30" s="76" t="s">
        <v>180</v>
      </c>
      <c r="H30" s="76" t="s">
        <v>201</v>
      </c>
      <c r="I30" s="76" t="s">
        <v>162</v>
      </c>
      <c r="J30" s="76" t="s">
        <v>139</v>
      </c>
      <c r="K30" s="76" t="s">
        <v>140</v>
      </c>
      <c r="L30" s="78" t="s">
        <v>141</v>
      </c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 spans="1:24" ht="15.75" customHeight="1" x14ac:dyDescent="0.3">
      <c r="A31" s="136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7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 spans="1:24" ht="15.75" customHeight="1" x14ac:dyDescent="0.3">
      <c r="A32" s="85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7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spans="1:24" ht="15.75" customHeight="1" x14ac:dyDescent="0.3">
      <c r="A33" s="86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7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spans="1:24" ht="15.75" customHeight="1" x14ac:dyDescent="0.3">
      <c r="A34" s="136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spans="1:24" ht="15.75" customHeight="1" x14ac:dyDescent="0.3">
      <c r="A35" s="85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spans="1:24" ht="15.75" customHeight="1" x14ac:dyDescent="0.3">
      <c r="A36" s="86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 spans="1:24" ht="15.75" customHeight="1" x14ac:dyDescent="0.3">
      <c r="A37" s="136" t="s">
        <v>218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 spans="1:24" ht="15.75" customHeight="1" x14ac:dyDescent="0.3">
      <c r="A38" s="85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spans="1:24" ht="15.75" customHeight="1" x14ac:dyDescent="0.3">
      <c r="A39" s="86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spans="1:24" ht="15.75" customHeight="1" x14ac:dyDescent="0.3">
      <c r="A40" s="136" t="s">
        <v>218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 spans="1:24" ht="15.75" customHeight="1" x14ac:dyDescent="0.3">
      <c r="A41" s="85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 spans="1:24" ht="15.75" customHeight="1" x14ac:dyDescent="0.3">
      <c r="A42" s="86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 spans="1:24" ht="15.75" customHeight="1" x14ac:dyDescent="0.3">
      <c r="A43" s="136" t="s">
        <v>218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 spans="1:24" ht="15.75" customHeight="1" x14ac:dyDescent="0.3">
      <c r="A44" s="85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 spans="1:24" ht="15.75" customHeight="1" x14ac:dyDescent="0.3">
      <c r="A45" s="86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 spans="1:24" ht="15.75" customHeight="1" x14ac:dyDescent="0.3">
      <c r="A46" s="136" t="s">
        <v>218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spans="1:24" ht="15.75" customHeight="1" x14ac:dyDescent="0.3">
      <c r="A47" s="85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 spans="1:24" ht="15.75" customHeight="1" x14ac:dyDescent="0.3">
      <c r="A48" s="86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 spans="1:24" ht="15.75" customHeight="1" x14ac:dyDescent="0.3">
      <c r="A49" s="136" t="s">
        <v>218</v>
      </c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 spans="1:24" ht="15.75" customHeight="1" x14ac:dyDescent="0.3">
      <c r="A50" s="85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 spans="1:24" ht="15.75" customHeight="1" x14ac:dyDescent="0.3">
      <c r="A51" s="86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 spans="1:24" ht="15.75" customHeight="1" x14ac:dyDescent="0.3">
      <c r="A52" s="136" t="s">
        <v>218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 spans="1:24" ht="15.75" customHeight="1" x14ac:dyDescent="0.3">
      <c r="A53" s="85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 spans="1:24" ht="15.75" customHeight="1" x14ac:dyDescent="0.3">
      <c r="A54" s="86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 spans="1:24" ht="15.75" customHeight="1" x14ac:dyDescent="0.3">
      <c r="A55" s="136" t="s">
        <v>218</v>
      </c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 spans="1:24" ht="15.75" customHeight="1" x14ac:dyDescent="0.3">
      <c r="A56" s="85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 spans="1:24" ht="15.75" customHeight="1" x14ac:dyDescent="0.3">
      <c r="A57" s="86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 spans="1:24" ht="15.75" customHeight="1" x14ac:dyDescent="0.3">
      <c r="A58" s="136" t="s">
        <v>218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 spans="1:24" ht="15.75" customHeight="1" x14ac:dyDescent="0.3">
      <c r="A59" s="85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 spans="1:24" ht="15.75" customHeight="1" x14ac:dyDescent="0.3">
      <c r="A60" s="86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 spans="1:24" ht="15.75" customHeight="1" x14ac:dyDescent="0.3">
      <c r="A61" s="81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spans="1:24" ht="15.75" customHeight="1" x14ac:dyDescent="0.3">
      <c r="A62" s="81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 spans="1:24" ht="15.75" customHeight="1" x14ac:dyDescent="0.3">
      <c r="A63" s="81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 spans="1:24" ht="15.75" customHeight="1" x14ac:dyDescent="0.3">
      <c r="A64" s="81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 spans="1:24" ht="15.75" customHeight="1" x14ac:dyDescent="0.3">
      <c r="A65" s="81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 spans="1:24" ht="15.75" customHeight="1" x14ac:dyDescent="0.3">
      <c r="A66" s="81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 spans="1:24" ht="15.75" customHeight="1" x14ac:dyDescent="0.3">
      <c r="A67" s="81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 spans="1:24" ht="15.75" customHeight="1" x14ac:dyDescent="0.3">
      <c r="A68" s="81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spans="1:24" ht="15.75" customHeight="1" x14ac:dyDescent="0.3">
      <c r="A69" s="81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spans="1:24" ht="15.75" customHeight="1" x14ac:dyDescent="0.3">
      <c r="A70" s="81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 spans="1:24" ht="15.75" customHeight="1" x14ac:dyDescent="0.3">
      <c r="A71" s="81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 spans="1:24" ht="15.75" customHeight="1" x14ac:dyDescent="0.3">
      <c r="A72" s="81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 spans="1:24" ht="15.75" customHeight="1" x14ac:dyDescent="0.3">
      <c r="A73" s="81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spans="1:24" ht="15.75" customHeight="1" x14ac:dyDescent="0.3">
      <c r="A74" s="81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spans="1:24" ht="15.75" customHeight="1" x14ac:dyDescent="0.3">
      <c r="A75" s="81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spans="1:24" ht="15.75" customHeight="1" x14ac:dyDescent="0.3">
      <c r="A76" s="81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 spans="1:24" ht="15.75" customHeight="1" x14ac:dyDescent="0.3">
      <c r="A77" s="81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spans="1:24" ht="15.75" customHeight="1" x14ac:dyDescent="0.3">
      <c r="A78" s="81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spans="1:24" ht="15.75" customHeight="1" x14ac:dyDescent="0.3">
      <c r="A79" s="81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spans="1:24" ht="15.75" customHeight="1" x14ac:dyDescent="0.3">
      <c r="A80" s="81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spans="1:24" ht="15.75" customHeight="1" x14ac:dyDescent="0.3">
      <c r="A81" s="81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spans="1:24" ht="15.75" customHeight="1" x14ac:dyDescent="0.3">
      <c r="A82" s="81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spans="1:24" ht="15.75" customHeight="1" x14ac:dyDescent="0.3">
      <c r="A83" s="81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spans="1:24" ht="15.75" customHeight="1" x14ac:dyDescent="0.3">
      <c r="A84" s="81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spans="1:24" ht="15.75" customHeight="1" x14ac:dyDescent="0.3">
      <c r="A85" s="81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spans="1:24" ht="15.75" customHeight="1" x14ac:dyDescent="0.3">
      <c r="A86" s="81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spans="1:24" ht="15.75" customHeight="1" x14ac:dyDescent="0.3">
      <c r="A87" s="81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spans="1:24" ht="15.75" customHeight="1" x14ac:dyDescent="0.3">
      <c r="A88" s="81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spans="1:24" ht="15.75" customHeight="1" x14ac:dyDescent="0.3">
      <c r="A89" s="81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spans="1:24" ht="15.75" customHeight="1" x14ac:dyDescent="0.3">
      <c r="A90" s="81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spans="1:24" ht="15.75" customHeight="1" x14ac:dyDescent="0.3">
      <c r="A91" s="81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spans="1:24" ht="15.75" customHeight="1" x14ac:dyDescent="0.3">
      <c r="A92" s="81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spans="1:24" ht="15.75" customHeight="1" x14ac:dyDescent="0.3">
      <c r="A93" s="81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spans="1:24" ht="15.75" customHeight="1" x14ac:dyDescent="0.3">
      <c r="A94" s="81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spans="1:24" ht="15.75" customHeight="1" x14ac:dyDescent="0.3">
      <c r="A95" s="81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spans="1:24" ht="15.75" customHeight="1" x14ac:dyDescent="0.3">
      <c r="A96" s="81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spans="1:24" ht="15.75" customHeight="1" x14ac:dyDescent="0.3">
      <c r="A97" s="81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spans="1:24" ht="15.75" customHeight="1" x14ac:dyDescent="0.3">
      <c r="A98" s="81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spans="1:24" ht="15.75" customHeight="1" x14ac:dyDescent="0.3">
      <c r="A99" s="81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spans="1:24" ht="15.75" customHeight="1" x14ac:dyDescent="0.3">
      <c r="A100" s="81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spans="1:24" ht="15.75" customHeight="1" x14ac:dyDescent="0.3">
      <c r="A101" s="81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spans="1:24" ht="15.75" customHeight="1" x14ac:dyDescent="0.3">
      <c r="A102" s="81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spans="1:24" ht="15.75" customHeight="1" x14ac:dyDescent="0.3">
      <c r="A103" s="81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 spans="1:24" ht="15.75" customHeight="1" x14ac:dyDescent="0.3">
      <c r="A104" s="81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spans="1:24" ht="15.75" customHeight="1" x14ac:dyDescent="0.3">
      <c r="A105" s="81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 spans="1:24" ht="15.75" customHeight="1" x14ac:dyDescent="0.3">
      <c r="A106" s="81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spans="1:24" ht="15.75" customHeight="1" x14ac:dyDescent="0.3">
      <c r="A107" s="81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 spans="1:24" ht="15.75" customHeight="1" x14ac:dyDescent="0.3">
      <c r="A108" s="81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spans="1:24" ht="15.75" customHeight="1" x14ac:dyDescent="0.3">
      <c r="A109" s="81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spans="1:24" ht="15.75" customHeight="1" x14ac:dyDescent="0.3">
      <c r="A110" s="81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spans="1:24" ht="15.75" customHeight="1" x14ac:dyDescent="0.3">
      <c r="A111" s="81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spans="1:24" ht="15.75" customHeight="1" x14ac:dyDescent="0.3">
      <c r="A112" s="81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spans="1:24" ht="15.75" customHeight="1" x14ac:dyDescent="0.3">
      <c r="A113" s="81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 spans="1:24" ht="15.75" customHeight="1" x14ac:dyDescent="0.3">
      <c r="A114" s="81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spans="1:24" ht="15.75" customHeight="1" x14ac:dyDescent="0.3">
      <c r="A115" s="81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spans="1:24" ht="15.75" customHeight="1" x14ac:dyDescent="0.3">
      <c r="A116" s="81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spans="1:24" ht="15.75" customHeight="1" x14ac:dyDescent="0.3">
      <c r="A117" s="81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 spans="1:24" ht="15.75" customHeight="1" x14ac:dyDescent="0.3">
      <c r="A118" s="81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 spans="1:24" ht="15.75" customHeight="1" x14ac:dyDescent="0.3">
      <c r="A119" s="81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 spans="1:24" ht="15.75" customHeight="1" x14ac:dyDescent="0.3">
      <c r="A120" s="81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 spans="1:24" ht="15.75" customHeight="1" x14ac:dyDescent="0.3">
      <c r="A121" s="81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 spans="1:24" ht="15.75" customHeight="1" x14ac:dyDescent="0.3">
      <c r="A122" s="81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 spans="1:24" ht="15.75" customHeight="1" x14ac:dyDescent="0.3">
      <c r="A123" s="81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 spans="1:24" ht="15.75" customHeight="1" x14ac:dyDescent="0.3">
      <c r="A124" s="81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 spans="1:24" ht="15.75" customHeight="1" x14ac:dyDescent="0.3">
      <c r="A125" s="81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 spans="1:24" ht="15.75" customHeight="1" x14ac:dyDescent="0.3">
      <c r="A126" s="81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 spans="1:24" ht="15.75" customHeight="1" x14ac:dyDescent="0.3">
      <c r="A127" s="81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 spans="1:24" ht="15.75" customHeight="1" x14ac:dyDescent="0.3">
      <c r="A128" s="81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 spans="1:24" ht="15.75" customHeight="1" x14ac:dyDescent="0.3">
      <c r="A129" s="81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 spans="1:24" ht="15.75" customHeight="1" x14ac:dyDescent="0.3">
      <c r="A130" s="81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 spans="1:24" ht="15.75" customHeight="1" x14ac:dyDescent="0.3">
      <c r="A131" s="81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 spans="1:24" ht="15.75" customHeight="1" x14ac:dyDescent="0.3">
      <c r="A132" s="81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</row>
    <row r="133" spans="1:24" ht="15.75" customHeight="1" x14ac:dyDescent="0.3">
      <c r="A133" s="81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 spans="1:24" ht="15.75" customHeight="1" x14ac:dyDescent="0.3">
      <c r="A134" s="81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 spans="1:24" ht="15.75" customHeight="1" x14ac:dyDescent="0.3">
      <c r="A135" s="81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 spans="1:24" ht="15.75" customHeight="1" x14ac:dyDescent="0.3">
      <c r="A136" s="81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 spans="1:24" ht="15.75" customHeight="1" x14ac:dyDescent="0.3">
      <c r="A137" s="81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 spans="1:24" ht="15.75" customHeight="1" x14ac:dyDescent="0.3">
      <c r="A138" s="81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 spans="1:24" ht="15.75" customHeight="1" x14ac:dyDescent="0.3">
      <c r="A139" s="81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 spans="1:24" ht="15.75" customHeight="1" x14ac:dyDescent="0.3">
      <c r="A140" s="81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 spans="1:24" ht="15.75" customHeight="1" x14ac:dyDescent="0.3">
      <c r="A141" s="81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 spans="1:24" ht="15.75" customHeight="1" x14ac:dyDescent="0.3">
      <c r="A142" s="81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 spans="1:24" ht="15.75" customHeight="1" x14ac:dyDescent="0.3">
      <c r="A143" s="81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 spans="1:24" ht="15.75" customHeight="1" x14ac:dyDescent="0.3">
      <c r="A144" s="81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 spans="1:24" ht="15.75" customHeight="1" x14ac:dyDescent="0.3">
      <c r="A145" s="81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 spans="1:24" ht="15.75" customHeight="1" x14ac:dyDescent="0.3">
      <c r="A146" s="81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 spans="1:24" ht="15.75" customHeight="1" x14ac:dyDescent="0.3">
      <c r="A147" s="81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 spans="1:24" ht="15.75" customHeight="1" x14ac:dyDescent="0.3">
      <c r="A148" s="81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 spans="1:24" ht="15.75" customHeight="1" x14ac:dyDescent="0.3">
      <c r="A149" s="81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 spans="1:24" ht="15.75" customHeight="1" x14ac:dyDescent="0.3">
      <c r="A150" s="81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 spans="1:24" ht="15.75" customHeight="1" x14ac:dyDescent="0.3">
      <c r="A151" s="81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</row>
    <row r="152" spans="1:24" ht="15.75" customHeight="1" x14ac:dyDescent="0.3">
      <c r="A152" s="81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</row>
    <row r="153" spans="1:24" ht="15.75" customHeight="1" x14ac:dyDescent="0.3">
      <c r="A153" s="81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</row>
    <row r="154" spans="1:24" ht="15.75" customHeight="1" x14ac:dyDescent="0.3">
      <c r="A154" s="81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 spans="1:24" ht="15.75" customHeight="1" x14ac:dyDescent="0.3">
      <c r="A155" s="81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 spans="1:24" ht="15.75" customHeight="1" x14ac:dyDescent="0.3">
      <c r="A156" s="81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 spans="1:24" ht="15.75" customHeight="1" x14ac:dyDescent="0.3">
      <c r="A157" s="81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 spans="1:24" ht="15.75" customHeight="1" x14ac:dyDescent="0.3">
      <c r="A158" s="81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 spans="1:24" ht="15.75" customHeight="1" x14ac:dyDescent="0.3">
      <c r="A159" s="81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 spans="1:24" ht="15.75" customHeight="1" x14ac:dyDescent="0.3">
      <c r="A160" s="81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 spans="1:24" ht="15.75" customHeight="1" x14ac:dyDescent="0.3">
      <c r="A161" s="81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 spans="1:24" ht="15.75" customHeight="1" x14ac:dyDescent="0.3">
      <c r="A162" s="81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 spans="1:24" ht="15.75" customHeight="1" x14ac:dyDescent="0.3">
      <c r="A163" s="81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 spans="1:24" ht="15.75" customHeight="1" x14ac:dyDescent="0.3">
      <c r="A164" s="81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 spans="1:24" ht="15.75" customHeight="1" x14ac:dyDescent="0.3">
      <c r="A165" s="81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 spans="1:24" ht="15.75" customHeight="1" x14ac:dyDescent="0.3">
      <c r="A166" s="81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 spans="1:24" ht="15.75" customHeight="1" x14ac:dyDescent="0.3">
      <c r="A167" s="81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 spans="1:24" ht="15.75" customHeight="1" x14ac:dyDescent="0.3">
      <c r="A168" s="81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 spans="1:24" ht="15.75" customHeight="1" x14ac:dyDescent="0.3">
      <c r="A169" s="81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 spans="1:24" ht="15.75" customHeight="1" x14ac:dyDescent="0.3">
      <c r="A170" s="81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 spans="1:24" ht="15.75" customHeight="1" x14ac:dyDescent="0.3">
      <c r="A171" s="81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 spans="1:24" ht="15.75" customHeight="1" x14ac:dyDescent="0.3">
      <c r="A172" s="81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 spans="1:24" ht="15.75" customHeight="1" x14ac:dyDescent="0.3">
      <c r="A173" s="81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 spans="1:24" ht="15.75" customHeight="1" x14ac:dyDescent="0.3">
      <c r="A174" s="81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 spans="1:24" ht="15.75" customHeight="1" x14ac:dyDescent="0.3">
      <c r="A175" s="81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 spans="1:24" ht="15.75" customHeight="1" x14ac:dyDescent="0.3">
      <c r="A176" s="81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 spans="1:24" ht="15.75" customHeight="1" x14ac:dyDescent="0.3">
      <c r="A177" s="81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 spans="1:24" ht="15.75" customHeight="1" x14ac:dyDescent="0.3">
      <c r="A178" s="81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 spans="1:24" ht="15.75" customHeight="1" x14ac:dyDescent="0.3">
      <c r="A179" s="81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 spans="1:24" ht="15.75" customHeight="1" x14ac:dyDescent="0.3">
      <c r="A180" s="81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 spans="1:24" ht="15.75" customHeight="1" x14ac:dyDescent="0.3">
      <c r="A181" s="81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 spans="1:24" ht="15.75" customHeight="1" x14ac:dyDescent="0.3">
      <c r="A182" s="81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 spans="1:24" ht="15.75" customHeight="1" x14ac:dyDescent="0.3">
      <c r="A183" s="81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 spans="1:24" ht="15.75" customHeight="1" x14ac:dyDescent="0.3">
      <c r="A184" s="81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 spans="1:24" ht="15.75" customHeight="1" x14ac:dyDescent="0.3">
      <c r="A185" s="81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 spans="1:24" ht="15.75" customHeight="1" x14ac:dyDescent="0.3">
      <c r="A186" s="81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 spans="1:24" ht="15.75" customHeight="1" x14ac:dyDescent="0.3">
      <c r="A187" s="81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 spans="1:24" ht="15.75" customHeight="1" x14ac:dyDescent="0.3">
      <c r="A188" s="81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 spans="1:24" ht="15.75" customHeight="1" x14ac:dyDescent="0.3">
      <c r="A189" s="81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 spans="1:24" ht="15.75" customHeight="1" x14ac:dyDescent="0.3">
      <c r="A190" s="81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 spans="1:24" ht="15.75" customHeight="1" x14ac:dyDescent="0.3">
      <c r="A191" s="81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 spans="1:24" ht="15.75" customHeight="1" x14ac:dyDescent="0.3">
      <c r="A192" s="81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 spans="1:24" ht="15.75" customHeight="1" x14ac:dyDescent="0.3">
      <c r="A193" s="81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 spans="1:24" ht="15.75" customHeight="1" x14ac:dyDescent="0.3">
      <c r="A194" s="81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 spans="1:24" ht="15.75" customHeight="1" x14ac:dyDescent="0.3">
      <c r="A195" s="81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 spans="1:24" ht="15.75" customHeight="1" x14ac:dyDescent="0.3">
      <c r="A196" s="81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 spans="1:24" ht="15.75" customHeight="1" x14ac:dyDescent="0.3">
      <c r="A197" s="81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 spans="1:24" ht="15.75" customHeight="1" x14ac:dyDescent="0.3">
      <c r="A198" s="81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 spans="1:24" ht="15.75" customHeight="1" x14ac:dyDescent="0.3">
      <c r="A199" s="81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 spans="1:24" ht="15.75" customHeight="1" x14ac:dyDescent="0.3">
      <c r="A200" s="81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 spans="1:24" ht="15.75" customHeight="1" x14ac:dyDescent="0.3">
      <c r="A201" s="81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 spans="1:24" ht="15.75" customHeight="1" x14ac:dyDescent="0.3">
      <c r="A202" s="81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 spans="1:24" ht="15.75" customHeight="1" x14ac:dyDescent="0.3">
      <c r="A203" s="81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 spans="1:24" ht="15.75" customHeight="1" x14ac:dyDescent="0.3">
      <c r="A204" s="81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 spans="1:24" ht="15.75" customHeight="1" x14ac:dyDescent="0.3">
      <c r="A205" s="81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 spans="1:24" ht="15.75" customHeight="1" x14ac:dyDescent="0.3">
      <c r="A206" s="81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 spans="1:24" ht="15.75" customHeight="1" x14ac:dyDescent="0.3">
      <c r="A207" s="81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 spans="1:24" ht="15.75" customHeight="1" x14ac:dyDescent="0.3">
      <c r="A208" s="81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 spans="1:24" ht="15.75" customHeight="1" x14ac:dyDescent="0.3">
      <c r="A209" s="81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 spans="1:24" ht="15.75" customHeight="1" x14ac:dyDescent="0.3">
      <c r="A210" s="81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 spans="1:24" ht="15.75" customHeight="1" x14ac:dyDescent="0.3">
      <c r="A211" s="81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 spans="1:24" ht="15.75" customHeight="1" x14ac:dyDescent="0.3">
      <c r="A212" s="81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 spans="1:24" ht="15.75" customHeight="1" x14ac:dyDescent="0.3">
      <c r="A213" s="81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 spans="1:24" ht="15.75" customHeight="1" x14ac:dyDescent="0.3">
      <c r="A214" s="81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 spans="1:24" ht="15.75" customHeight="1" x14ac:dyDescent="0.3">
      <c r="A215" s="81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 spans="1:24" ht="15.75" customHeight="1" x14ac:dyDescent="0.3">
      <c r="A216" s="81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 spans="1:24" ht="15.75" customHeight="1" x14ac:dyDescent="0.3">
      <c r="A217" s="81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 spans="1:24" ht="15.75" customHeight="1" x14ac:dyDescent="0.3">
      <c r="A218" s="81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 spans="1:24" ht="15.75" customHeight="1" x14ac:dyDescent="0.3">
      <c r="A219" s="81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 spans="1:24" ht="15.75" customHeight="1" x14ac:dyDescent="0.3">
      <c r="A220" s="81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 spans="1:24" ht="15.75" customHeight="1" x14ac:dyDescent="0.3">
      <c r="A221" s="81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 spans="1:24" ht="15.75" customHeight="1" x14ac:dyDescent="0.3">
      <c r="A222" s="81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 spans="1:24" ht="15.75" customHeight="1" x14ac:dyDescent="0.3">
      <c r="A223" s="81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 spans="1:24" ht="15.75" customHeight="1" x14ac:dyDescent="0.3">
      <c r="A224" s="81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 spans="1:24" ht="15.75" customHeight="1" x14ac:dyDescent="0.3">
      <c r="A225" s="81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 spans="1:24" ht="15.75" customHeight="1" x14ac:dyDescent="0.3">
      <c r="A226" s="81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 spans="1:24" ht="15.75" customHeight="1" x14ac:dyDescent="0.3">
      <c r="A227" s="81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 spans="1:24" ht="15.75" customHeight="1" x14ac:dyDescent="0.3">
      <c r="A228" s="81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 spans="1:24" ht="15.75" customHeight="1" x14ac:dyDescent="0.3">
      <c r="A229" s="81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 spans="1:24" ht="15.75" customHeight="1" x14ac:dyDescent="0.3">
      <c r="A230" s="81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 spans="1:24" ht="15.75" customHeight="1" x14ac:dyDescent="0.3">
      <c r="A231" s="81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 spans="1:24" ht="15.75" customHeight="1" x14ac:dyDescent="0.3">
      <c r="A232" s="81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 spans="1:24" ht="15.75" customHeight="1" x14ac:dyDescent="0.3">
      <c r="A233" s="81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 spans="1:24" ht="15.75" customHeight="1" x14ac:dyDescent="0.3">
      <c r="A234" s="81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 spans="1:24" ht="15.75" customHeight="1" x14ac:dyDescent="0.3">
      <c r="A235" s="81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 spans="1:24" ht="15.75" customHeight="1" x14ac:dyDescent="0.3">
      <c r="A236" s="81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 spans="1:24" ht="15.75" customHeight="1" x14ac:dyDescent="0.3">
      <c r="A237" s="81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 spans="1:24" ht="15.75" customHeight="1" x14ac:dyDescent="0.3">
      <c r="A238" s="81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 spans="1:24" ht="15.75" customHeight="1" x14ac:dyDescent="0.3">
      <c r="A239" s="81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 spans="1:24" ht="15.75" customHeight="1" x14ac:dyDescent="0.3">
      <c r="A240" s="81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 spans="1:24" ht="15.75" customHeight="1" x14ac:dyDescent="0.3">
      <c r="A241" s="81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 spans="1:24" ht="15.75" customHeight="1" x14ac:dyDescent="0.3">
      <c r="A242" s="81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 spans="1:24" ht="15.75" customHeight="1" x14ac:dyDescent="0.3">
      <c r="A243" s="81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 spans="1:24" ht="15.75" customHeight="1" x14ac:dyDescent="0.3">
      <c r="A244" s="81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 spans="1:24" ht="15.75" customHeight="1" x14ac:dyDescent="0.3">
      <c r="A245" s="81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 spans="1:24" ht="15.75" customHeight="1" x14ac:dyDescent="0.3">
      <c r="A246" s="81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spans="1:24" ht="15.75" customHeight="1" x14ac:dyDescent="0.3">
      <c r="A247" s="81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 spans="1:24" ht="15.75" customHeight="1" x14ac:dyDescent="0.3">
      <c r="A248" s="81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 spans="1:24" ht="15.75" customHeight="1" x14ac:dyDescent="0.3">
      <c r="A249" s="81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spans="1:24" ht="15.75" customHeight="1" x14ac:dyDescent="0.3">
      <c r="A250" s="81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 spans="1:24" ht="15.75" customHeight="1" x14ac:dyDescent="0.3">
      <c r="A251" s="81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 spans="1:24" ht="15.75" customHeight="1" x14ac:dyDescent="0.3">
      <c r="A252" s="81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 spans="1:24" ht="15.75" customHeight="1" x14ac:dyDescent="0.3">
      <c r="A253" s="81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 spans="1:24" ht="15.75" customHeight="1" x14ac:dyDescent="0.3">
      <c r="A254" s="81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 spans="1:24" ht="15.75" customHeight="1" x14ac:dyDescent="0.3">
      <c r="A255" s="81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 spans="1:24" ht="15.75" customHeight="1" x14ac:dyDescent="0.3">
      <c r="A256" s="81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spans="1:24" ht="15.75" customHeight="1" x14ac:dyDescent="0.3">
      <c r="A257" s="81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spans="1:24" ht="15.75" customHeight="1" x14ac:dyDescent="0.3">
      <c r="A258" s="81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spans="1:24" ht="15.75" customHeight="1" x14ac:dyDescent="0.3"/>
    <row r="260" spans="1:24" ht="15.75" customHeight="1" x14ac:dyDescent="0.3"/>
    <row r="261" spans="1:24" ht="15.75" customHeight="1" x14ac:dyDescent="0.3"/>
    <row r="262" spans="1:24" ht="15.75" customHeight="1" x14ac:dyDescent="0.3"/>
    <row r="263" spans="1:24" ht="15.75" customHeight="1" x14ac:dyDescent="0.3"/>
    <row r="264" spans="1:24" ht="15.75" customHeight="1" x14ac:dyDescent="0.3"/>
    <row r="265" spans="1:24" ht="15.75" customHeight="1" x14ac:dyDescent="0.3"/>
    <row r="266" spans="1:24" ht="15.75" customHeight="1" x14ac:dyDescent="0.3"/>
    <row r="267" spans="1:24" ht="15.75" customHeight="1" x14ac:dyDescent="0.3"/>
    <row r="268" spans="1:24" ht="15.75" customHeight="1" x14ac:dyDescent="0.3"/>
    <row r="269" spans="1:24" ht="15.75" customHeight="1" x14ac:dyDescent="0.3"/>
    <row r="270" spans="1:24" ht="15.75" customHeight="1" x14ac:dyDescent="0.3"/>
    <row r="271" spans="1:24" ht="15.75" customHeight="1" x14ac:dyDescent="0.3"/>
    <row r="272" spans="1:24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2">
    <mergeCell ref="A46:A48"/>
    <mergeCell ref="A49:A51"/>
    <mergeCell ref="A52:A54"/>
    <mergeCell ref="A55:A57"/>
    <mergeCell ref="A58:A60"/>
    <mergeCell ref="A10:A12"/>
    <mergeCell ref="A13:A15"/>
    <mergeCell ref="A37:A39"/>
    <mergeCell ref="A40:A42"/>
    <mergeCell ref="A43:A45"/>
    <mergeCell ref="A16:A18"/>
    <mergeCell ref="A19:A21"/>
    <mergeCell ref="A22:A24"/>
    <mergeCell ref="A25:A27"/>
    <mergeCell ref="A28:A30"/>
    <mergeCell ref="A31:A33"/>
    <mergeCell ref="A34:A36"/>
    <mergeCell ref="A1:L4"/>
    <mergeCell ref="A5:A6"/>
    <mergeCell ref="I5:K5"/>
    <mergeCell ref="I6:K6"/>
    <mergeCell ref="A7:A9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DIRETRIZES ORGANIZACIONAIS</vt:lpstr>
      <vt:lpstr>ANÁLISE DE AMBIENTE - PEST</vt:lpstr>
      <vt:lpstr>DIAGNÓASTICO ORGANIZACIONAL </vt:lpstr>
      <vt:lpstr>5 FORÇAS DE PORTER</vt:lpstr>
      <vt:lpstr>SWOT</vt:lpstr>
      <vt:lpstr>PLANO DE AÇÃO - 5W2H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Guido de Carvalho</dc:creator>
  <cp:lastModifiedBy>Bernardo Guido de Carvalho</cp:lastModifiedBy>
  <dcterms:created xsi:type="dcterms:W3CDTF">2025-11-19T17:09:34Z</dcterms:created>
  <dcterms:modified xsi:type="dcterms:W3CDTF">2025-11-19T17:09:34Z</dcterms:modified>
</cp:coreProperties>
</file>